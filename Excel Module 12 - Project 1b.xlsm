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avsuta-my.sharepoint.com/personal/nxm9901_mavs_uta_edu/Documents/"/>
    </mc:Choice>
  </mc:AlternateContent>
  <xr:revisionPtr revIDLastSave="39" documentId="8_{8280EEDB-8102-449C-9E13-AF55C826006E}" xr6:coauthVersionLast="47" xr6:coauthVersionMax="47" xr10:uidLastSave="{AF7D6744-BD58-4AC9-9DF7-2685A78B46F6}"/>
  <bookViews>
    <workbookView xWindow="-98" yWindow="-98" windowWidth="22695" windowHeight="14476" activeTab="3" xr2:uid="{00000000-000D-0000-FFFF-FFFF00000000}"/>
  </bookViews>
  <sheets>
    <sheet name="Documentation" sheetId="8" r:id="rId1"/>
    <sheet name="Volunteer Overview" sheetId="4" r:id="rId2"/>
    <sheet name="Volunteer Records" sheetId="3" r:id="rId3"/>
    <sheet name="Volunteer Registration" sheetId="1" r:id="rId4"/>
  </sheets>
  <externalReferences>
    <externalReference r:id="rId5"/>
    <externalReference r:id="rId6"/>
    <externalReference r:id="rId7"/>
    <externalReference r:id="rId8"/>
    <externalReference r:id="rId9"/>
  </externalReferences>
  <definedNames>
    <definedName name="__IntlFixup" hidden="1">TRUE</definedName>
    <definedName name="__IntlFixupTable" localSheetId="0" hidden="1">#REF!</definedName>
    <definedName name="__IntlFixupTable" hidden="1">#REF!</definedName>
    <definedName name="_Order1" hidden="1">0</definedName>
    <definedName name="AA.Report.Files" hidden="1">#REF!</definedName>
    <definedName name="AA.Reports.Available" hidden="1">#REF!</definedName>
    <definedName name="Address" localSheetId="0">[1]Invoice!$B$4</definedName>
    <definedName name="Address">[1]Invoice!$B$4</definedName>
    <definedName name="CA_RunWalk" localSheetId="0">'[2]Local Offices'!$D$12</definedName>
    <definedName name="CA_RunWalk">'[2]Local Offices'!$D$12</definedName>
    <definedName name="City_State_Zip" localSheetId="0">[1]Invoice!$B$5</definedName>
    <definedName name="City_State_Zip">[1]Invoice!$B$5</definedName>
    <definedName name="Contact" localSheetId="0">[1]Invoice!$B$3</definedName>
    <definedName name="Contact">[1]Invoice!$B$3</definedName>
    <definedName name="Data.Dump" localSheetId="0" hidden="1">OFFSET([0]!Data.Top.Left,1,0)</definedName>
    <definedName name="Data.Dump" hidden="1">OFFSET([0]!Data.Top.Left,1,0)</definedName>
    <definedName name="Database.File" localSheetId="0" hidden="1">#REF!</definedName>
    <definedName name="Database.File" hidden="1">#REF!</definedName>
    <definedName name="dfava" hidden="1">OFFSET([0]!Data.Top.Left,1,0)</definedName>
    <definedName name="File.Type" localSheetId="0" hidden="1">#REF!</definedName>
    <definedName name="File.Type" hidden="1">#REF!</definedName>
    <definedName name="File.Type2" hidden="1">#REF!</definedName>
    <definedName name="Fixed_Costs_Earphones" localSheetId="0">'[3]All Products'!$D$11</definedName>
    <definedName name="Fixed_Costs_Earphones">'[3]All Products'!$D$11</definedName>
    <definedName name="Fixed_Costs_Noise_Cancelling" localSheetId="0">'[3]All Products'!$C$11</definedName>
    <definedName name="Fixed_Costs_Noise_Cancelling">'[3]All Products'!$C$11</definedName>
    <definedName name="Fixed_Costs_Wireless" localSheetId="0">'[3]All Products'!$B$11</definedName>
    <definedName name="Fixed_Costs_Wireless">'[3]All Products'!$B$11</definedName>
    <definedName name="Handling" localSheetId="0">[1]Invoice!$B$22</definedName>
    <definedName name="Handling">[1]Invoice!$B$22</definedName>
    <definedName name="HTML_CodePage" hidden="1">1252</definedName>
    <definedName name="HTML_Control" localSheetId="0" hidden="1">{"'Leverage'!$B$2:$M$418"}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Noise_Cancelling_Fixed_Cost" localSheetId="0">'[3]Noise-Cancelling'!$B$14</definedName>
    <definedName name="Noise_Cancelling_Fixed_Cost">'[3]Noise-Cancelling'!$B$14</definedName>
    <definedName name="Noise_Cancelling_Variable_Cost" localSheetId="0">'[3]Noise-Cancelling'!$B$11</definedName>
    <definedName name="Noise_Cancelling_Variable_Cost">'[3]Noise-Cancelling'!$B$11</definedName>
    <definedName name="OR_Run" localSheetId="0">'[2]Local Offices'!$D$18</definedName>
    <definedName name="OR_Run">'[2]Local Offices'!$D$18</definedName>
    <definedName name="Ownership" localSheetId="0" hidden="1">OFFSET([0]!Data.Top.Left,1,0)</definedName>
    <definedName name="Ownership" hidden="1">OFFSET([0]!Data.Top.Left,1,0)</definedName>
    <definedName name="Phone" localSheetId="0">[1]Invoice!$B$6</definedName>
    <definedName name="Phone">[1]Invoice!$B$6</definedName>
    <definedName name="s" localSheetId="0" hidden="1">#REF!</definedName>
    <definedName name="s" hidden="1">#REF!</definedName>
    <definedName name="Show.Acct.Update.Warning" hidden="1">#REF!</definedName>
    <definedName name="Show.MDB.Update.Warning" hidden="1">#REF!</definedName>
    <definedName name="Shuttle_Fee" localSheetId="0">[1]Invoice!$B$23</definedName>
    <definedName name="Shuttle_Fee">[1]Invoice!$B$23</definedName>
    <definedName name="Subscriber" localSheetId="0">[4]Invoice!$B$3</definedName>
    <definedName name="Subscriber">[4]Invoice!$B$3</definedName>
    <definedName name="Total_Profit_Earphones" localSheetId="0">'[3]All Products'!$D$16</definedName>
    <definedName name="Total_Profit_Earphones">'[3]All Products'!$D$16</definedName>
    <definedName name="Total_Profit_Noise_Cancelling" localSheetId="0">'[3]All Products'!$C$16</definedName>
    <definedName name="Total_Profit_Noise_Cancelling">'[3]All Products'!$C$16</definedName>
    <definedName name="Total_Profit_Wireless" localSheetId="0">'[3]All Products'!$B$16</definedName>
    <definedName name="Total_Profit_Wireless">'[3]All Products'!$B$16</definedName>
    <definedName name="Total_Tutors">'Volunteer Overview'!$G$4:$G$9</definedName>
    <definedName name="Total_Volunteers" localSheetId="0">'[5]Volunteer Overview'!$G$4:$G$9</definedName>
    <definedName name="Total_Volunteers">'Volunteer Overview'!$G$4:$G$9</definedName>
    <definedName name="Tutor_Data">'Volunteer Registration'!$D$4:$D$8</definedName>
    <definedName name="Units_Manufactured_Noise_Cancelling" localSheetId="0">'[3]All Products'!$C$10</definedName>
    <definedName name="Units_Manufactured_Noise_Cancelling">'[3]All Products'!$C$10</definedName>
    <definedName name="Units_Manufactured_Wireless" localSheetId="0">'[3]All Products'!$B$10</definedName>
    <definedName name="Units_Manufactured_Wireless">'[3]All Products'!$B$10</definedName>
    <definedName name="Units_Sold_Earphones" localSheetId="0">'[3]All Products'!$D$5</definedName>
    <definedName name="Units_Sold_Earphones">'[3]All Products'!$D$5</definedName>
    <definedName name="Units_Sold_Noise_Cancelling" localSheetId="0">'[3]All Products'!$C$5</definedName>
    <definedName name="Units_Sold_Noise_Cancelling">'[3]All Products'!$C$5</definedName>
    <definedName name="Units_Sold_Wireless" localSheetId="0">'[3]All Products'!$B$5</definedName>
    <definedName name="Units_Sold_Wireless">'[3]All Products'!$B$5</definedName>
    <definedName name="Variable_Cost_per_Unit_Noise_Cancelling" localSheetId="0">'[3]All Products'!$C$12</definedName>
    <definedName name="Variable_Cost_per_Unit_Noise_Cancelling">'[3]All Products'!$C$12</definedName>
    <definedName name="Variable_Cost_per_Unit_Wireless" localSheetId="0">'[3]All Products'!$B$12</definedName>
    <definedName name="Variable_Cost_per_Unit_Wireless">'[3]All Products'!$B$12</definedName>
    <definedName name="Variable_Costs_Earphones" localSheetId="0">'[3]All Products'!$D$13</definedName>
    <definedName name="Variable_Costs_Earphones">'[3]All Products'!$D$13</definedName>
    <definedName name="Variable_Costs_Noise_Cancelling" localSheetId="0">'[3]All Products'!$C$13</definedName>
    <definedName name="Variable_Costs_Noise_Cancelling">'[3]All Products'!$C$13</definedName>
    <definedName name="Variable_Costs_Wireless" localSheetId="0">'[3]All Products'!$B$13</definedName>
    <definedName name="Variable_Costs_Wireless">'[3]All Products'!$B$13</definedName>
    <definedName name="vdavavc" hidden="1">OFFSET([0]!Data.Top.Left,1,0)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4" l="1"/>
  <c r="C10" i="4" l="1"/>
  <c r="D10" i="4" s="1"/>
  <c r="D5" i="4"/>
  <c r="D7" i="4"/>
  <c r="D8" i="4"/>
  <c r="D9" i="4"/>
  <c r="D6" i="4"/>
  <c r="D4" i="4"/>
  <c r="D15" i="4"/>
  <c r="D16" i="4"/>
  <c r="D17" i="4"/>
  <c r="D18" i="4"/>
  <c r="D19" i="4"/>
  <c r="D14" i="4"/>
  <c r="I15" i="4"/>
  <c r="I16" i="4"/>
  <c r="I17" i="4"/>
  <c r="I18" i="4"/>
  <c r="I19" i="4"/>
  <c r="I14" i="4"/>
  <c r="H20" i="4"/>
  <c r="G20" i="4"/>
  <c r="C20" i="4"/>
  <c r="B20" i="4"/>
  <c r="D20" i="4" l="1"/>
  <c r="G6" i="4"/>
  <c r="G9" i="4"/>
  <c r="G5" i="4"/>
  <c r="G8" i="4"/>
  <c r="G7" i="4"/>
  <c r="I20" i="4"/>
  <c r="G4" i="4"/>
  <c r="G10" i="4" l="1"/>
</calcChain>
</file>

<file path=xl/sharedStrings.xml><?xml version="1.0" encoding="utf-8"?>
<sst xmlns="http://schemas.openxmlformats.org/spreadsheetml/2006/main" count="123" uniqueCount="43">
  <si>
    <t>Total</t>
  </si>
  <si>
    <t>Author:</t>
  </si>
  <si>
    <t>Neisa Mathew</t>
  </si>
  <si>
    <t>Note: Do not edit this sheet. If your name does not appear in cell B6, please download a new copy of the file from the SAM website.</t>
  </si>
  <si>
    <t>DEVELOP AN EXCEL APPLICATION</t>
  </si>
  <si>
    <t>Summary</t>
  </si>
  <si>
    <t>Piedmont Riverfront Festival</t>
  </si>
  <si>
    <t>Piedmont Square</t>
  </si>
  <si>
    <t>Capital Street</t>
  </si>
  <si>
    <t>Riverfront Park</t>
  </si>
  <si>
    <t>AM Volunteers</t>
  </si>
  <si>
    <t>PM Volunteers</t>
  </si>
  <si>
    <t>Total Volunteers</t>
  </si>
  <si>
    <t>Station</t>
  </si>
  <si>
    <t>Boat rides</t>
  </si>
  <si>
    <t>Kid's corner</t>
  </si>
  <si>
    <t>Food booths</t>
  </si>
  <si>
    <t>Music stage</t>
  </si>
  <si>
    <t>Bike races</t>
  </si>
  <si>
    <t>First aid</t>
  </si>
  <si>
    <t>Volunteer Name</t>
  </si>
  <si>
    <t>Assignment</t>
  </si>
  <si>
    <t>Gift</t>
  </si>
  <si>
    <t>Date</t>
  </si>
  <si>
    <t>Dawn Millman</t>
  </si>
  <si>
    <t>Felipe Gomez</t>
  </si>
  <si>
    <t>Taylor Blackburn</t>
  </si>
  <si>
    <t>Jen Saleska</t>
  </si>
  <si>
    <t>Cosmo Salazar</t>
  </si>
  <si>
    <t>Yee Njai</t>
  </si>
  <si>
    <t>Charlie Olneck</t>
  </si>
  <si>
    <t>Vicky Webster</t>
  </si>
  <si>
    <t>Chee Tang</t>
  </si>
  <si>
    <t>Heather Rhys</t>
  </si>
  <si>
    <t>Jeong Park</t>
  </si>
  <si>
    <t>Tracy Woodward</t>
  </si>
  <si>
    <t>Rosalina Garduno</t>
  </si>
  <si>
    <t>Maddie Ducharme</t>
  </si>
  <si>
    <t>T-shirt</t>
  </si>
  <si>
    <t>Cap</t>
  </si>
  <si>
    <t>Mug</t>
  </si>
  <si>
    <t>Volunteer Registration</t>
  </si>
  <si>
    <t>Emma Johnson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</si>
</sst>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d\,\ mmmm\ d;@"/>
  </numFmts>
  <fonts count="20" x14ac:knownFonts="1"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b/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2"/>
      <color theme="1"/>
      <name val="Rockwell"/>
      <family val="2"/>
      <scheme val="minor"/>
    </font>
    <font>
      <b/>
      <sz val="16"/>
      <color theme="0"/>
      <name val="Rockwell"/>
      <family val="2"/>
      <scheme val="minor"/>
    </font>
    <font>
      <sz val="10"/>
      <name val="Arial"/>
      <family val="2"/>
    </font>
    <font>
      <sz val="10"/>
      <name val="Century Gothic"/>
      <family val="2"/>
    </font>
    <font>
      <sz val="11"/>
      <color rgb="FF000000"/>
      <name val="Century Gothic"/>
      <family val="2"/>
    </font>
    <font>
      <sz val="28"/>
      <color rgb="FF0070C0"/>
      <name val="Century Gothic"/>
      <family val="2"/>
    </font>
    <font>
      <sz val="10"/>
      <color rgb="FF0070C0"/>
      <name val="Century Gothic"/>
      <family val="2"/>
    </font>
    <font>
      <i/>
      <sz val="10"/>
      <color rgb="FFCC6600"/>
      <name val="Century Gothic"/>
      <family val="2"/>
    </font>
    <font>
      <i/>
      <sz val="10"/>
      <name val="Century Gothic"/>
      <family val="2"/>
    </font>
    <font>
      <sz val="10"/>
      <color theme="0"/>
      <name val="Century Gothic"/>
      <family val="2"/>
    </font>
    <font>
      <sz val="11"/>
      <color rgb="FF4B4C4C"/>
      <name val="Century Gothic"/>
      <family val="2"/>
    </font>
    <font>
      <sz val="24"/>
      <color theme="0"/>
      <name val="Rockwell"/>
      <family val="2"/>
      <scheme val="minor"/>
    </font>
    <font>
      <sz val="11"/>
      <name val="Rockwell"/>
      <family val="2"/>
      <scheme val="minor"/>
    </font>
    <font>
      <sz val="14"/>
      <color theme="1" tint="0.14999847407452621"/>
      <name val="Rockwell"/>
      <family val="2"/>
      <scheme val="minor"/>
    </font>
    <font>
      <sz val="11"/>
      <color theme="1" tint="0.14999847407452621"/>
      <name val="Rockwell"/>
      <family val="2"/>
      <scheme val="minor"/>
    </font>
    <font>
      <sz val="12"/>
      <color rgb="FF000000"/>
      <name val="Rockwell"/>
      <family val="1"/>
    </font>
  </fonts>
  <fills count="1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7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</fills>
  <borders count="23">
    <border>
      <left/>
      <right/>
      <top/>
      <bottom/>
      <diagonal/>
    </border>
    <border>
      <left/>
      <right style="thick">
        <color rgb="FF93A5B2"/>
      </right>
      <top/>
      <bottom/>
      <diagonal/>
    </border>
    <border>
      <left/>
      <right/>
      <top/>
      <bottom style="thin">
        <color rgb="FF93A5B2"/>
      </bottom>
      <diagonal/>
    </border>
    <border>
      <left/>
      <right/>
      <top/>
      <bottom style="thick">
        <color rgb="FF93A5B2"/>
      </bottom>
      <diagonal/>
    </border>
    <border>
      <left/>
      <right style="thick">
        <color rgb="FF93A5B2"/>
      </right>
      <top/>
      <bottom style="thick">
        <color rgb="FF93A5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7"/>
      </top>
      <bottom style="double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</borders>
  <cellStyleXfs count="1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6" fillId="0" borderId="0"/>
    <xf numFmtId="0" fontId="8" fillId="6" borderId="0">
      <alignment vertical="top" wrapText="1"/>
    </xf>
    <xf numFmtId="0" fontId="9" fillId="6" borderId="0">
      <alignment vertical="top" wrapText="1"/>
    </xf>
    <xf numFmtId="0" fontId="8" fillId="6" borderId="0">
      <alignment vertical="top" wrapText="1"/>
    </xf>
    <xf numFmtId="0" fontId="2" fillId="0" borderId="5" applyNumberFormat="0" applyFill="0" applyAlignment="0" applyProtection="0"/>
    <xf numFmtId="0" fontId="3" fillId="8" borderId="0" applyNumberFormat="0" applyBorder="0" applyAlignment="0" applyProtection="0"/>
    <xf numFmtId="0" fontId="3" fillId="12" borderId="0" applyNumberFormat="0" applyBorder="0" applyAlignment="0" applyProtection="0"/>
    <xf numFmtId="0" fontId="1" fillId="0" borderId="0"/>
  </cellStyleXfs>
  <cellXfs count="61">
    <xf numFmtId="0" fontId="0" fillId="0" borderId="0" xfId="0"/>
    <xf numFmtId="0" fontId="4" fillId="0" borderId="0" xfId="3" applyFont="1" applyFill="1" applyProtection="1"/>
    <xf numFmtId="0" fontId="7" fillId="6" borderId="1" xfId="5" applyFont="1" applyFill="1" applyBorder="1" applyAlignment="1">
      <alignment horizontal="left"/>
    </xf>
    <xf numFmtId="0" fontId="10" fillId="6" borderId="1" xfId="5" applyFont="1" applyFill="1" applyBorder="1" applyAlignment="1">
      <alignment horizontal="left" wrapText="1"/>
    </xf>
    <xf numFmtId="0" fontId="11" fillId="7" borderId="2" xfId="5" applyFont="1" applyFill="1" applyBorder="1" applyAlignment="1">
      <alignment horizontal="left"/>
    </xf>
    <xf numFmtId="0" fontId="16" fillId="8" borderId="0" xfId="10" applyFont="1" applyBorder="1"/>
    <xf numFmtId="0" fontId="2" fillId="11" borderId="6" xfId="9" applyFill="1" applyBorder="1"/>
    <xf numFmtId="0" fontId="16" fillId="8" borderId="0" xfId="10" applyFont="1" applyBorder="1" applyAlignment="1">
      <alignment horizontal="center"/>
    </xf>
    <xf numFmtId="0" fontId="2" fillId="9" borderId="6" xfId="9" applyFill="1" applyBorder="1" applyAlignment="1">
      <alignment horizontal="center"/>
    </xf>
    <xf numFmtId="0" fontId="2" fillId="11" borderId="6" xfId="9" applyFill="1" applyBorder="1" applyAlignment="1">
      <alignment horizontal="center"/>
    </xf>
    <xf numFmtId="0" fontId="0" fillId="10" borderId="0" xfId="0" applyFill="1"/>
    <xf numFmtId="0" fontId="4" fillId="10" borderId="0" xfId="3" applyFont="1" applyFill="1" applyBorder="1" applyProtection="1"/>
    <xf numFmtId="0" fontId="0" fillId="6" borderId="12" xfId="0" applyFill="1" applyBorder="1"/>
    <xf numFmtId="0" fontId="0" fillId="6" borderId="9" xfId="0" applyFill="1" applyBorder="1"/>
    <xf numFmtId="0" fontId="0" fillId="6" borderId="13" xfId="0" applyFill="1" applyBorder="1"/>
    <xf numFmtId="0" fontId="0" fillId="14" borderId="7" xfId="0" applyFill="1" applyBorder="1"/>
    <xf numFmtId="0" fontId="0" fillId="14" borderId="7" xfId="0" applyFill="1" applyBorder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7" xfId="0" applyFill="1" applyBorder="1"/>
    <xf numFmtId="0" fontId="0" fillId="14" borderId="0" xfId="0" applyFill="1"/>
    <xf numFmtId="0" fontId="0" fillId="15" borderId="7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0" borderId="11" xfId="0" applyBorder="1" applyAlignment="1">
      <alignment horizontal="left"/>
    </xf>
    <xf numFmtId="0" fontId="4" fillId="9" borderId="11" xfId="3" applyFont="1" applyFill="1" applyBorder="1" applyAlignment="1" applyProtection="1">
      <alignment horizontal="right"/>
    </xf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0" borderId="21" xfId="0" applyFill="1" applyBorder="1"/>
    <xf numFmtId="0" fontId="18" fillId="9" borderId="10" xfId="3" applyFont="1" applyFill="1" applyBorder="1" applyAlignment="1" applyProtection="1">
      <alignment horizontal="right"/>
    </xf>
    <xf numFmtId="164" fontId="0" fillId="0" borderId="11" xfId="0" applyNumberFormat="1" applyBorder="1" applyAlignment="1">
      <alignment horizontal="left"/>
    </xf>
    <xf numFmtId="0" fontId="3" fillId="10" borderId="8" xfId="11" applyFill="1" applyBorder="1" applyAlignment="1" applyProtection="1">
      <alignment horizontal="center" vertical="center"/>
    </xf>
    <xf numFmtId="0" fontId="0" fillId="0" borderId="22" xfId="2" applyFont="1" applyFill="1" applyBorder="1" applyAlignment="1" applyProtection="1">
      <alignment horizontal="left"/>
    </xf>
    <xf numFmtId="164" fontId="1" fillId="0" borderId="22" xfId="2" applyNumberFormat="1" applyFill="1" applyBorder="1" applyAlignment="1" applyProtection="1">
      <alignment horizontal="left"/>
    </xf>
    <xf numFmtId="0" fontId="0" fillId="0" borderId="22" xfId="0" applyBorder="1" applyAlignment="1">
      <alignment horizontal="left"/>
    </xf>
    <xf numFmtId="164" fontId="0" fillId="0" borderId="22" xfId="0" applyNumberFormat="1" applyBorder="1" applyAlignment="1">
      <alignment horizontal="left"/>
    </xf>
    <xf numFmtId="0" fontId="0" fillId="0" borderId="22" xfId="0" applyBorder="1"/>
    <xf numFmtId="0" fontId="6" fillId="0" borderId="0" xfId="5"/>
    <xf numFmtId="0" fontId="7" fillId="0" borderId="0" xfId="5" applyFont="1" applyAlignment="1">
      <alignment vertical="center"/>
    </xf>
    <xf numFmtId="0" fontId="1" fillId="0" borderId="0" xfId="12"/>
    <xf numFmtId="0" fontId="7" fillId="6" borderId="0" xfId="5" applyFont="1" applyFill="1" applyAlignment="1">
      <alignment horizontal="left"/>
    </xf>
    <xf numFmtId="0" fontId="9" fillId="6" borderId="0" xfId="7" applyAlignment="1">
      <alignment horizontal="left" vertical="top" wrapText="1"/>
    </xf>
    <xf numFmtId="0" fontId="6" fillId="0" borderId="0" xfId="5" applyAlignment="1">
      <alignment wrapText="1"/>
    </xf>
    <xf numFmtId="0" fontId="14" fillId="6" borderId="0" xfId="8" applyFont="1" applyAlignment="1">
      <alignment horizontal="left" vertical="top" wrapText="1"/>
    </xf>
    <xf numFmtId="0" fontId="7" fillId="6" borderId="0" xfId="5" applyFont="1" applyFill="1" applyAlignment="1">
      <alignment horizontal="right"/>
    </xf>
    <xf numFmtId="0" fontId="13" fillId="0" borderId="0" xfId="5" applyFont="1" applyAlignment="1">
      <alignment horizontal="left" vertical="center" indent="7"/>
    </xf>
    <xf numFmtId="0" fontId="13" fillId="0" borderId="1" xfId="5" applyFont="1" applyBorder="1" applyAlignment="1">
      <alignment horizontal="left" vertical="center" indent="7"/>
    </xf>
    <xf numFmtId="0" fontId="12" fillId="6" borderId="0" xfId="5" applyFont="1" applyFill="1" applyAlignment="1">
      <alignment horizontal="center" vertical="center" wrapText="1"/>
    </xf>
    <xf numFmtId="0" fontId="12" fillId="6" borderId="1" xfId="5" applyFont="1" applyFill="1" applyBorder="1" applyAlignment="1">
      <alignment horizontal="center" vertical="center" wrapText="1"/>
    </xf>
    <xf numFmtId="0" fontId="12" fillId="6" borderId="3" xfId="5" applyFont="1" applyFill="1" applyBorder="1" applyAlignment="1">
      <alignment horizontal="center" vertical="center" wrapText="1"/>
    </xf>
    <xf numFmtId="0" fontId="12" fillId="6" borderId="4" xfId="5" applyFont="1" applyFill="1" applyBorder="1" applyAlignment="1">
      <alignment horizontal="center" vertical="center" wrapText="1"/>
    </xf>
    <xf numFmtId="0" fontId="5" fillId="13" borderId="0" xfId="1" applyFont="1" applyFill="1" applyBorder="1" applyAlignment="1">
      <alignment horizontal="center"/>
    </xf>
    <xf numFmtId="0" fontId="5" fillId="13" borderId="0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16" borderId="14" xfId="4" applyFont="1" applyFill="1" applyBorder="1" applyAlignment="1" applyProtection="1">
      <alignment horizontal="center" vertical="center"/>
    </xf>
    <xf numFmtId="0" fontId="15" fillId="16" borderId="15" xfId="4" applyFont="1" applyFill="1" applyBorder="1" applyAlignment="1" applyProtection="1">
      <alignment horizontal="center" vertical="center"/>
    </xf>
    <xf numFmtId="0" fontId="15" fillId="16" borderId="16" xfId="4" applyFont="1" applyFill="1" applyBorder="1" applyAlignment="1" applyProtection="1">
      <alignment horizontal="center" vertical="center"/>
    </xf>
    <xf numFmtId="0" fontId="17" fillId="3" borderId="17" xfId="2" applyFont="1" applyBorder="1" applyAlignment="1" applyProtection="1">
      <alignment horizontal="center" vertical="center"/>
    </xf>
    <xf numFmtId="0" fontId="17" fillId="3" borderId="0" xfId="2" applyFont="1" applyBorder="1" applyAlignment="1" applyProtection="1">
      <alignment horizontal="center" vertical="center"/>
    </xf>
    <xf numFmtId="0" fontId="17" fillId="3" borderId="18" xfId="2" applyFont="1" applyBorder="1" applyAlignment="1" applyProtection="1">
      <alignment horizontal="center" vertical="center"/>
    </xf>
  </cellXfs>
  <cellStyles count="13">
    <cellStyle name="20% - Accent5" xfId="2" builtinId="46"/>
    <cellStyle name="40% - Accent5" xfId="3" builtinId="47"/>
    <cellStyle name="60% - Accent4" xfId="10" builtinId="44"/>
    <cellStyle name="60% - Accent5" xfId="4" builtinId="48"/>
    <cellStyle name="Accent4" xfId="11" builtinId="41"/>
    <cellStyle name="Accent5" xfId="1" builtinId="45"/>
    <cellStyle name="Normal" xfId="0" builtinId="0"/>
    <cellStyle name="Normal 2 2" xfId="5" xr:uid="{00000000-0005-0000-0000-000007000000}"/>
    <cellStyle name="Normal 3" xfId="12" xr:uid="{3520E09A-7858-4CE3-ACAD-F55C576DA2B6}"/>
    <cellStyle name="Project Header" xfId="6" xr:uid="{00000000-0005-0000-0000-000008000000}"/>
    <cellStyle name="Student Name" xfId="7" xr:uid="{00000000-0005-0000-0000-000009000000}"/>
    <cellStyle name="Submission" xfId="8" xr:uid="{00000000-0005-0000-0000-00000A000000}"/>
    <cellStyle name="Total" xfId="9" builtinId="25"/>
  </cellStyles>
  <dxfs count="13"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numFmt numFmtId="165" formatCode="[$-F800]dddd\,\ mmmm\ dd\,\ yyyy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border>
        <bottom style="thin">
          <color theme="7"/>
        </bottom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1</xdr:row>
      <xdr:rowOff>30480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0" y="0"/>
          <a:ext cx="8096250" cy="563880"/>
          <a:chOff x="6987540" y="0"/>
          <a:chExt cx="6377940" cy="51424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87540" y="0"/>
            <a:ext cx="6377940" cy="514244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7048500" y="0"/>
            <a:ext cx="5280660" cy="4648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n-US" sz="1000" b="0">
                <a:latin typeface="Century Gothic" panose="020B0502020202020204" pitchFamily="34" charset="0"/>
              </a:rPr>
              <a:t>New Perspectives Excel 365/2021 | Module 12: SAM Project 1b</a:t>
            </a:r>
            <a:endParaRPr lang="en-US" sz="1000"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</xdr:row>
      <xdr:rowOff>66675</xdr:rowOff>
    </xdr:from>
    <xdr:to>
      <xdr:col>7</xdr:col>
      <xdr:colOff>1095376</xdr:colOff>
      <xdr:row>2</xdr:row>
      <xdr:rowOff>129540</xdr:rowOff>
    </xdr:to>
    <xdr:sp macro="[0]!Print_Layou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91325" y="1104900"/>
          <a:ext cx="981076" cy="32004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Print</a:t>
          </a:r>
          <a:r>
            <a:rPr lang="en-US" sz="1100" baseline="0"/>
            <a:t> Layout</a:t>
          </a:r>
          <a:endParaRPr lang="en-US" sz="1100"/>
        </a:p>
      </xdr:txBody>
    </xdr:sp>
    <xdr:clientData/>
  </xdr:twoCellAnchor>
  <xdr:oneCellAnchor>
    <xdr:from>
      <xdr:col>0</xdr:col>
      <xdr:colOff>186178</xdr:colOff>
      <xdr:row>0</xdr:row>
      <xdr:rowOff>56803</xdr:rowOff>
    </xdr:from>
    <xdr:ext cx="6771405" cy="905569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6178" y="56803"/>
          <a:ext cx="6771405" cy="90556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5400" b="1" cap="none" spc="0">
              <a:ln/>
              <a:solidFill>
                <a:schemeClr val="accent4">
                  <a:lumMod val="75000"/>
                </a:schemeClr>
              </a:solidFill>
              <a:effectLst/>
            </a:rPr>
            <a:t>Festival</a:t>
          </a:r>
          <a:r>
            <a:rPr lang="en-US" sz="5400" b="1" cap="none" spc="0" baseline="0">
              <a:ln/>
              <a:solidFill>
                <a:schemeClr val="accent4">
                  <a:lumMod val="75000"/>
                </a:schemeClr>
              </a:solidFill>
              <a:effectLst/>
            </a:rPr>
            <a:t> Volunteers</a:t>
          </a:r>
          <a:endParaRPr lang="en-US" sz="5400" b="1" cap="none" spc="0">
            <a:ln/>
            <a:solidFill>
              <a:schemeClr val="accent4">
                <a:lumMod val="75000"/>
              </a:schemeClr>
            </a:solidFill>
            <a:effectLst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871078</xdr:colOff>
      <xdr:row>0</xdr:row>
      <xdr:rowOff>0</xdr:rowOff>
    </xdr:from>
    <xdr:ext cx="5230151" cy="63446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71078" y="0"/>
          <a:ext cx="5230151" cy="63446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3600" b="1" cap="none" spc="0">
              <a:ln/>
              <a:solidFill>
                <a:schemeClr val="accent4">
                  <a:lumMod val="75000"/>
                </a:schemeClr>
              </a:solidFill>
              <a:effectLst/>
            </a:rPr>
            <a:t>Registered</a:t>
          </a:r>
          <a:r>
            <a:rPr lang="en-US" sz="3600" b="1" cap="none" spc="0" baseline="0">
              <a:ln/>
              <a:solidFill>
                <a:schemeClr val="accent4">
                  <a:lumMod val="75000"/>
                </a:schemeClr>
              </a:solidFill>
              <a:effectLst/>
            </a:rPr>
            <a:t> Volunteers</a:t>
          </a:r>
          <a:endParaRPr lang="en-US" sz="3600" b="1" cap="none" spc="0">
            <a:ln/>
            <a:solidFill>
              <a:schemeClr val="accent4">
                <a:lumMod val="75000"/>
              </a:schemeClr>
            </a:solidFill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176213</xdr:rowOff>
        </xdr:from>
        <xdr:to>
          <xdr:col>1</xdr:col>
          <xdr:colOff>1752600</xdr:colOff>
          <xdr:row>10</xdr:row>
          <xdr:rowOff>66675</xdr:rowOff>
        </xdr:to>
        <xdr:sp macro="" textlink="">
          <xdr:nvSpPr>
            <xdr:cNvPr id="1026" name="Button 2" descr="Clear 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Rockwel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280988</xdr:colOff>
          <xdr:row>8</xdr:row>
          <xdr:rowOff>157163</xdr:rowOff>
        </xdr:from>
        <xdr:to>
          <xdr:col>3</xdr:col>
          <xdr:colOff>1652588</xdr:colOff>
          <xdr:row>10</xdr:row>
          <xdr:rowOff>69533</xdr:rowOff>
        </xdr:to>
        <xdr:sp macro="" textlink="">
          <xdr:nvSpPr>
            <xdr:cNvPr id="1028" name="Button 4" descr="Clear For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FE3D026-5616-6DBF-D9C1-F30E6B8B30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Rockwell"/>
                </a:rPr>
                <a:t>Add Volunteer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ngageo365-my.sharepoint.com/Users/Lisa/Downloads/SAM/SAM%20Projects/Office%202016%20Projects/Excel/NP%20Advanced/NP%2012a/1_AU1/NP_EX16_12a_FirstLastName_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ngageo365-my.sharepoint.com/Users/Lisa/Downloads/SAM/SAM%20Projects/Office%202016%20Projects/Excel/Intermediate%20Excel%20Capstones/NP%20Interm%20Capstone/NP_EX16_CS5-8a_FirstLastName_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ngageo365-my.sharepoint.com/Users/Lisa/Downloads/SAM/SAM%20Projects/Office%202016%20Projects/Excel/NP%20Advanced/NP%2010a/1_AU1/NP_EX16_10a_FirstLastName_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ngageo365-my.sharepoint.com/Users/Lisa/Downloads/NP%20Office%202013%20Videos/Excel%20videos/Comp%20videos/Video11-Naming%20Cells%20and%20Ranges/Community%20Theatre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microsoft.com/office/2019/04/relationships/externalLinkLongPath" Target="https://cengageo365-my.sharepoint.com/personal/philip_coker_cengage_com/Documents/Documents/My%20documents/File%20Development/SAM%20365%20Projects/Excel/New%20Perspectives/Project%201B/NP_EX365_12b%20-%20Copy/NP_EX365_12b_FirstLastName_1.xlsm?D7833EF9" TargetMode="External"/><Relationship Id="rId1" Type="http://schemas.openxmlformats.org/officeDocument/2006/relationships/externalLinkPath" Target="file:///\\D7833EF9\NP_EX365_12b_FirstLastName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ation"/>
      <sheetName val="Invoice"/>
      <sheetName val="Customer Data"/>
      <sheetName val="Notes"/>
    </sheetNames>
    <sheetDataSet>
      <sheetData sheetId="0" refreshError="1"/>
      <sheetData sheetId="1">
        <row r="3">
          <cell r="B3" t="str">
            <v>Ashley Clavette</v>
          </cell>
        </row>
        <row r="4">
          <cell r="B4" t="str">
            <v>2131 Willow St.</v>
          </cell>
        </row>
        <row r="5">
          <cell r="B5" t="str">
            <v>Laurel, MD 20707</v>
          </cell>
        </row>
        <row r="6">
          <cell r="B6" t="str">
            <v>(240) 555-2838</v>
          </cell>
        </row>
        <row r="22">
          <cell r="B22">
            <v>10</v>
          </cell>
        </row>
        <row r="23">
          <cell r="B23">
            <v>15</v>
          </cell>
        </row>
      </sheetData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ation"/>
      <sheetName val="Local Offices"/>
      <sheetName val="California"/>
      <sheetName val="Oregon"/>
      <sheetName val="Washington"/>
      <sheetName val="Consolidated"/>
      <sheetName val="Spring"/>
      <sheetName val="Fall"/>
    </sheetNames>
    <sheetDataSet>
      <sheetData sheetId="0" refreshError="1"/>
      <sheetData sheetId="1">
        <row r="12">
          <cell r="D12">
            <v>56350</v>
          </cell>
        </row>
        <row r="18">
          <cell r="D18">
            <v>51050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ation"/>
      <sheetName val="Wireless"/>
      <sheetName val="Noise-Cancelling"/>
      <sheetName val="Earphones"/>
      <sheetName val="Earphone Suppliers"/>
      <sheetName val="All Products"/>
    </sheetNames>
    <sheetDataSet>
      <sheetData sheetId="0" refreshError="1"/>
      <sheetData sheetId="1" refreshError="1"/>
      <sheetData sheetId="2">
        <row r="11">
          <cell r="B11">
            <v>179</v>
          </cell>
        </row>
        <row r="14">
          <cell r="B14">
            <v>260000</v>
          </cell>
        </row>
      </sheetData>
      <sheetData sheetId="3" refreshError="1"/>
      <sheetData sheetId="4" refreshError="1"/>
      <sheetData sheetId="5">
        <row r="5">
          <cell r="B5">
            <v>25000</v>
          </cell>
          <cell r="C5">
            <v>10500</v>
          </cell>
          <cell r="D5">
            <v>12500</v>
          </cell>
        </row>
        <row r="10">
          <cell r="B10">
            <v>25000</v>
          </cell>
          <cell r="C10">
            <v>10500</v>
          </cell>
        </row>
        <row r="11">
          <cell r="B11">
            <v>260000</v>
          </cell>
          <cell r="C11">
            <v>260000</v>
          </cell>
          <cell r="D11">
            <v>260000</v>
          </cell>
        </row>
        <row r="12">
          <cell r="B12">
            <v>150</v>
          </cell>
          <cell r="C12">
            <v>179</v>
          </cell>
        </row>
        <row r="13">
          <cell r="B13">
            <v>3750000</v>
          </cell>
          <cell r="C13">
            <v>1879500</v>
          </cell>
          <cell r="D13">
            <v>743750</v>
          </cell>
        </row>
        <row r="16">
          <cell r="B16">
            <v>465000</v>
          </cell>
          <cell r="C16">
            <v>55000</v>
          </cell>
          <cell r="D16">
            <v>233750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ation"/>
      <sheetName val="Invoice"/>
      <sheetName val="Ticket Data"/>
    </sheetNames>
    <sheetDataSet>
      <sheetData sheetId="0" refreshError="1"/>
      <sheetData sheetId="1">
        <row r="3">
          <cell r="B3" t="str">
            <v>Michael Keller</v>
          </cell>
        </row>
      </sheetData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ation"/>
      <sheetName val="Volunteer Overview"/>
      <sheetName val="Volunteer Records"/>
      <sheetName val="Volunteer Registration"/>
    </sheetNames>
    <sheetDataSet>
      <sheetData sheetId="0"/>
      <sheetData sheetId="1">
        <row r="4">
          <cell r="G4">
            <v>92</v>
          </cell>
        </row>
        <row r="5">
          <cell r="G5">
            <v>67</v>
          </cell>
        </row>
        <row r="6">
          <cell r="G6">
            <v>50</v>
          </cell>
        </row>
        <row r="7">
          <cell r="G7">
            <v>83</v>
          </cell>
        </row>
        <row r="8">
          <cell r="G8">
            <v>60</v>
          </cell>
        </row>
        <row r="9">
          <cell r="G9">
            <v>47</v>
          </cell>
        </row>
      </sheetData>
      <sheetData sheetId="2"/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utors" displayName="Tutors" ref="A2:E129" headerRowDxfId="12" headerRowBorderDxfId="11" tableBorderDxfId="10" headerRowCellStyle="Accent4">
  <autoFilter ref="A2:E129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Volunteer Name" totalsRowFunction="custom" dataDxfId="9" totalsRowDxfId="8" dataCellStyle="20% - Accent5">
      <totalsRowFormula>'Volunteer Records'!B15</totalsRowFormula>
    </tableColumn>
    <tableColumn id="2" xr3:uid="{00000000-0010-0000-0000-000002000000}" name="Assignment" totalsRowFunction="custom" dataDxfId="7" totalsRowDxfId="6" dataCellStyle="20% - Accent5">
      <totalsRowFormula>Tutors[[#This Row],[Assignment]]</totalsRowFormula>
    </tableColumn>
    <tableColumn id="3" xr3:uid="{00000000-0010-0000-0000-000003000000}" name="Date" totalsRowFunction="custom" dataDxfId="5" totalsRowDxfId="4" dataCellStyle="20% - Accent5">
      <totalsRowFormula>'Volunteer Records'!#REF!</totalsRowFormula>
    </tableColumn>
    <tableColumn id="4" xr3:uid="{00000000-0010-0000-0000-000004000000}" name="Station" totalsRowFunction="custom" dataDxfId="3" totalsRowDxfId="2" dataCellStyle="20% - Accent5">
      <totalsRowFormula>'Volunteer Records'!B18</totalsRowFormula>
    </tableColumn>
    <tableColumn id="5" xr3:uid="{00000000-0010-0000-0000-000005000000}" name="Gift" totalsRowFunction="custom" dataDxfId="1" totalsRowDxfId="0" dataCellStyle="20% - Accent5">
      <totalsRowFormula>'Volunteer Records'!B19</totalsRowFormula>
    </tableColumn>
  </tableColumns>
  <tableStyleInfo name="TableStyleLight1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4C61-A01A-4BDD-BF5A-BDF56D39B9A0}">
  <sheetPr codeName="Sheet4"/>
  <dimension ref="A1:C11"/>
  <sheetViews>
    <sheetView showGridLines="0" zoomScaleNormal="100" workbookViewId="0">
      <selection activeCell="D1" sqref="D1"/>
    </sheetView>
  </sheetViews>
  <sheetFormatPr defaultColWidth="7.875" defaultRowHeight="12.75" x14ac:dyDescent="0.35"/>
  <cols>
    <col min="1" max="1" width="7.8125" style="38" customWidth="1"/>
    <col min="2" max="2" width="95.125" style="38" customWidth="1"/>
    <col min="3" max="3" width="3.3125" style="38" customWidth="1"/>
    <col min="4" max="16384" width="7.875" style="38"/>
  </cols>
  <sheetData>
    <row r="1" spans="1:3" ht="42" customHeight="1" x14ac:dyDescent="0.35">
      <c r="A1" s="46"/>
      <c r="B1" s="46"/>
      <c r="C1" s="47"/>
    </row>
    <row r="2" spans="1:3" ht="5" customHeight="1" x14ac:dyDescent="0.35">
      <c r="A2" s="39"/>
      <c r="B2" s="40"/>
      <c r="C2" s="2"/>
    </row>
    <row r="3" spans="1:3" s="43" customFormat="1" ht="35.25" x14ac:dyDescent="0.35">
      <c r="A3" s="41"/>
      <c r="B3" s="42" t="s">
        <v>6</v>
      </c>
      <c r="C3" s="3"/>
    </row>
    <row r="4" spans="1:3" ht="14.25" x14ac:dyDescent="0.35">
      <c r="A4" s="41"/>
      <c r="B4" s="44" t="s">
        <v>4</v>
      </c>
      <c r="C4" s="2"/>
    </row>
    <row r="5" spans="1:3" ht="15.75" customHeight="1" x14ac:dyDescent="0.35">
      <c r="A5" s="41"/>
      <c r="B5" s="41"/>
      <c r="C5" s="2"/>
    </row>
    <row r="6" spans="1:3" ht="13.15" x14ac:dyDescent="0.35">
      <c r="A6" s="45" t="s">
        <v>1</v>
      </c>
      <c r="B6" s="4" t="s">
        <v>2</v>
      </c>
      <c r="C6" s="2"/>
    </row>
    <row r="7" spans="1:3" ht="13.15" x14ac:dyDescent="0.35">
      <c r="A7" s="41"/>
      <c r="B7" s="41"/>
      <c r="C7" s="2"/>
    </row>
    <row r="8" spans="1:3" x14ac:dyDescent="0.35">
      <c r="A8" s="48" t="s">
        <v>3</v>
      </c>
      <c r="B8" s="48"/>
      <c r="C8" s="49"/>
    </row>
    <row r="9" spans="1:3" x14ac:dyDescent="0.35">
      <c r="A9" s="48"/>
      <c r="B9" s="48"/>
      <c r="C9" s="49"/>
    </row>
    <row r="10" spans="1:3" ht="13.15" thickBot="1" x14ac:dyDescent="0.4">
      <c r="A10" s="50"/>
      <c r="B10" s="50"/>
      <c r="C10" s="51"/>
    </row>
    <row r="11" spans="1:3" ht="13.15" thickTop="1" x14ac:dyDescent="0.35"/>
  </sheetData>
  <mergeCells count="2">
    <mergeCell ref="A1:C1"/>
    <mergeCell ref="A8:C10"/>
  </mergeCells>
  <dataValidations count="2">
    <dataValidation allowBlank="1" showInputMessage="1" showErrorMessage="1" error="                                                                " sqref="J3" xr:uid="{F138E470-C178-4721-BDB2-5E546E8D0005}"/>
    <dataValidation allowBlank="1" error="pavI8MeUFtEyxX2I4tky3c95cbe0-f339-4677-9e40-d2ad6f6f61ad" sqref="A1:C2 A3:C3 A4:C11" xr:uid="{00000000-0002-0000-0000-000001000000}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21"/>
  <sheetViews>
    <sheetView workbookViewId="0">
      <selection activeCell="I5" sqref="I5"/>
    </sheetView>
  </sheetViews>
  <sheetFormatPr defaultRowHeight="13.5" x14ac:dyDescent="0.35"/>
  <cols>
    <col min="1" max="1" width="11.875" bestFit="1" customWidth="1"/>
    <col min="2" max="2" width="14.1875" bestFit="1" customWidth="1"/>
    <col min="3" max="3" width="14.125" bestFit="1" customWidth="1"/>
    <col min="4" max="4" width="10.625" customWidth="1"/>
    <col min="6" max="6" width="11.875" bestFit="1" customWidth="1"/>
    <col min="7" max="7" width="15.875" bestFit="1" customWidth="1"/>
    <col min="8" max="8" width="15.1875" customWidth="1"/>
    <col min="9" max="9" width="5.375" bestFit="1" customWidth="1"/>
  </cols>
  <sheetData>
    <row r="1" spans="1:9" ht="81.75" customHeight="1" x14ac:dyDescent="0.35">
      <c r="A1" s="54"/>
      <c r="B1" s="54"/>
      <c r="C1" s="54"/>
      <c r="D1" s="54"/>
      <c r="E1" s="54"/>
      <c r="F1" s="54"/>
      <c r="G1" s="54"/>
      <c r="H1" s="54"/>
    </row>
    <row r="2" spans="1:9" ht="21" x14ac:dyDescent="0.65">
      <c r="A2" s="52" t="s">
        <v>7</v>
      </c>
      <c r="B2" s="52"/>
      <c r="C2" s="52"/>
      <c r="D2" s="52"/>
      <c r="F2" s="53" t="s">
        <v>5</v>
      </c>
      <c r="G2" s="53"/>
    </row>
    <row r="3" spans="1:9" x14ac:dyDescent="0.35">
      <c r="A3" s="5" t="s">
        <v>13</v>
      </c>
      <c r="B3" s="7" t="s">
        <v>10</v>
      </c>
      <c r="C3" s="7" t="s">
        <v>11</v>
      </c>
      <c r="D3" s="7" t="s">
        <v>0</v>
      </c>
      <c r="F3" s="5" t="s">
        <v>13</v>
      </c>
      <c r="G3" s="7" t="s">
        <v>12</v>
      </c>
    </row>
    <row r="4" spans="1:9" x14ac:dyDescent="0.35">
      <c r="A4" s="15" t="s">
        <v>18</v>
      </c>
      <c r="B4" s="16">
        <v>15</v>
      </c>
      <c r="C4" s="16">
        <v>12</v>
      </c>
      <c r="D4" s="16">
        <f t="shared" ref="D4:D10" si="0">SUM(B4:C4)</f>
        <v>27</v>
      </c>
      <c r="F4" s="15" t="s">
        <v>18</v>
      </c>
      <c r="G4" s="16">
        <f t="shared" ref="G4:G9" si="1">D4+D14+I14</f>
        <v>92</v>
      </c>
    </row>
    <row r="5" spans="1:9" x14ac:dyDescent="0.35">
      <c r="A5" s="17" t="s">
        <v>14</v>
      </c>
      <c r="B5" s="18">
        <v>8</v>
      </c>
      <c r="C5" s="18">
        <v>10</v>
      </c>
      <c r="D5" s="18">
        <f t="shared" si="0"/>
        <v>18</v>
      </c>
      <c r="F5" s="17" t="s">
        <v>14</v>
      </c>
      <c r="G5" s="18">
        <f t="shared" si="1"/>
        <v>67</v>
      </c>
    </row>
    <row r="6" spans="1:9" x14ac:dyDescent="0.35">
      <c r="A6" s="19" t="s">
        <v>19</v>
      </c>
      <c r="B6" s="21">
        <v>5</v>
      </c>
      <c r="C6" s="21">
        <v>8</v>
      </c>
      <c r="D6" s="21">
        <f t="shared" si="0"/>
        <v>13</v>
      </c>
      <c r="F6" s="19" t="s">
        <v>19</v>
      </c>
      <c r="G6" s="16">
        <f t="shared" si="1"/>
        <v>50</v>
      </c>
    </row>
    <row r="7" spans="1:9" x14ac:dyDescent="0.35">
      <c r="A7" s="20" t="s">
        <v>16</v>
      </c>
      <c r="B7" s="22">
        <v>12</v>
      </c>
      <c r="C7" s="22">
        <v>20</v>
      </c>
      <c r="D7" s="22">
        <f t="shared" si="0"/>
        <v>32</v>
      </c>
      <c r="F7" s="20" t="s">
        <v>16</v>
      </c>
      <c r="G7" s="18">
        <f t="shared" si="1"/>
        <v>83</v>
      </c>
    </row>
    <row r="8" spans="1:9" x14ac:dyDescent="0.35">
      <c r="A8" s="19" t="s">
        <v>15</v>
      </c>
      <c r="B8" s="21">
        <v>10</v>
      </c>
      <c r="C8" s="21">
        <v>10</v>
      </c>
      <c r="D8" s="21">
        <f t="shared" si="0"/>
        <v>20</v>
      </c>
      <c r="F8" s="19" t="s">
        <v>15</v>
      </c>
      <c r="G8" s="16">
        <f t="shared" si="1"/>
        <v>60</v>
      </c>
    </row>
    <row r="9" spans="1:9" x14ac:dyDescent="0.35">
      <c r="A9" s="20" t="s">
        <v>17</v>
      </c>
      <c r="B9" s="22">
        <v>8</v>
      </c>
      <c r="C9" s="22">
        <v>5</v>
      </c>
      <c r="D9" s="22">
        <f t="shared" si="0"/>
        <v>13</v>
      </c>
      <c r="F9" s="20" t="s">
        <v>17</v>
      </c>
      <c r="G9" s="18">
        <f t="shared" si="1"/>
        <v>47</v>
      </c>
    </row>
    <row r="10" spans="1:9" ht="14.65" thickBot="1" x14ac:dyDescent="0.5">
      <c r="A10" s="6" t="s">
        <v>0</v>
      </c>
      <c r="B10" s="8">
        <f>SUM(B4:B9)</f>
        <v>58</v>
      </c>
      <c r="C10" s="8">
        <f>SUM(C4:C9)</f>
        <v>65</v>
      </c>
      <c r="D10" s="8">
        <f t="shared" si="0"/>
        <v>123</v>
      </c>
      <c r="F10" s="6" t="s">
        <v>0</v>
      </c>
      <c r="G10" s="9">
        <f>SUM(Total_Volunteers)</f>
        <v>399</v>
      </c>
    </row>
    <row r="11" spans="1:9" ht="13.9" thickTop="1" x14ac:dyDescent="0.35"/>
    <row r="12" spans="1:9" ht="21" x14ac:dyDescent="0.65">
      <c r="A12" s="52" t="s">
        <v>8</v>
      </c>
      <c r="B12" s="52"/>
      <c r="C12" s="52"/>
      <c r="D12" s="52"/>
      <c r="F12" s="52" t="s">
        <v>9</v>
      </c>
      <c r="G12" s="52"/>
      <c r="H12" s="52"/>
      <c r="I12" s="52"/>
    </row>
    <row r="13" spans="1:9" x14ac:dyDescent="0.35">
      <c r="A13" s="5" t="s">
        <v>13</v>
      </c>
      <c r="B13" s="7" t="s">
        <v>10</v>
      </c>
      <c r="C13" s="7" t="s">
        <v>11</v>
      </c>
      <c r="D13" s="7" t="s">
        <v>0</v>
      </c>
      <c r="F13" s="5" t="s">
        <v>13</v>
      </c>
      <c r="G13" s="7" t="s">
        <v>10</v>
      </c>
      <c r="H13" s="7" t="s">
        <v>11</v>
      </c>
      <c r="I13" s="7" t="s">
        <v>0</v>
      </c>
    </row>
    <row r="14" spans="1:9" x14ac:dyDescent="0.35">
      <c r="A14" s="15" t="s">
        <v>18</v>
      </c>
      <c r="B14" s="16">
        <v>10</v>
      </c>
      <c r="C14" s="16">
        <v>10</v>
      </c>
      <c r="D14" s="16">
        <f>SUM(B14:C14)</f>
        <v>20</v>
      </c>
      <c r="F14" s="15" t="s">
        <v>18</v>
      </c>
      <c r="G14" s="16">
        <v>21</v>
      </c>
      <c r="H14" s="16">
        <v>24</v>
      </c>
      <c r="I14" s="16">
        <f>SUM(G14:H14)</f>
        <v>45</v>
      </c>
    </row>
    <row r="15" spans="1:9" x14ac:dyDescent="0.35">
      <c r="A15" s="17" t="s">
        <v>14</v>
      </c>
      <c r="B15" s="18">
        <v>7</v>
      </c>
      <c r="C15" s="18">
        <v>9</v>
      </c>
      <c r="D15" s="18">
        <f t="shared" ref="D15:D20" si="2">SUM(B15:C15)</f>
        <v>16</v>
      </c>
      <c r="F15" s="17" t="s">
        <v>14</v>
      </c>
      <c r="G15" s="18">
        <v>15</v>
      </c>
      <c r="H15" s="18">
        <v>18</v>
      </c>
      <c r="I15" s="18">
        <f t="shared" ref="I15:I20" si="3">SUM(G15:H15)</f>
        <v>33</v>
      </c>
    </row>
    <row r="16" spans="1:9" x14ac:dyDescent="0.35">
      <c r="A16" s="19" t="s">
        <v>19</v>
      </c>
      <c r="B16" s="16">
        <v>7</v>
      </c>
      <c r="C16" s="16">
        <v>8</v>
      </c>
      <c r="D16" s="16">
        <f t="shared" si="2"/>
        <v>15</v>
      </c>
      <c r="F16" s="19" t="s">
        <v>19</v>
      </c>
      <c r="G16" s="16">
        <v>10</v>
      </c>
      <c r="H16" s="16">
        <v>12</v>
      </c>
      <c r="I16" s="16">
        <f t="shared" si="3"/>
        <v>22</v>
      </c>
    </row>
    <row r="17" spans="1:9" x14ac:dyDescent="0.35">
      <c r="A17" s="20" t="s">
        <v>16</v>
      </c>
      <c r="B17" s="18">
        <v>10</v>
      </c>
      <c r="C17" s="18">
        <v>12</v>
      </c>
      <c r="D17" s="18">
        <f t="shared" si="2"/>
        <v>22</v>
      </c>
      <c r="F17" s="20" t="s">
        <v>16</v>
      </c>
      <c r="G17" s="18">
        <v>14</v>
      </c>
      <c r="H17" s="18">
        <v>15</v>
      </c>
      <c r="I17" s="18">
        <f t="shared" si="3"/>
        <v>29</v>
      </c>
    </row>
    <row r="18" spans="1:9" x14ac:dyDescent="0.35">
      <c r="A18" s="19" t="s">
        <v>15</v>
      </c>
      <c r="B18" s="16">
        <v>10</v>
      </c>
      <c r="C18" s="16">
        <v>10</v>
      </c>
      <c r="D18" s="16">
        <f t="shared" si="2"/>
        <v>20</v>
      </c>
      <c r="F18" s="19" t="s">
        <v>15</v>
      </c>
      <c r="G18" s="16">
        <v>10</v>
      </c>
      <c r="H18" s="16">
        <v>10</v>
      </c>
      <c r="I18" s="16">
        <f t="shared" si="3"/>
        <v>20</v>
      </c>
    </row>
    <row r="19" spans="1:9" x14ac:dyDescent="0.35">
      <c r="A19" s="20" t="s">
        <v>17</v>
      </c>
      <c r="B19" s="18">
        <v>6</v>
      </c>
      <c r="C19" s="18">
        <v>9</v>
      </c>
      <c r="D19" s="18">
        <f t="shared" si="2"/>
        <v>15</v>
      </c>
      <c r="F19" s="20" t="s">
        <v>17</v>
      </c>
      <c r="G19" s="18">
        <v>8</v>
      </c>
      <c r="H19" s="18">
        <v>11</v>
      </c>
      <c r="I19" s="18">
        <f t="shared" si="3"/>
        <v>19</v>
      </c>
    </row>
    <row r="20" spans="1:9" ht="14.65" thickBot="1" x14ac:dyDescent="0.5">
      <c r="A20" s="6" t="s">
        <v>0</v>
      </c>
      <c r="B20" s="8">
        <f>SUM(B14:B19)</f>
        <v>50</v>
      </c>
      <c r="C20" s="8">
        <f>SUM(C14:C19)</f>
        <v>58</v>
      </c>
      <c r="D20" s="8">
        <f t="shared" si="2"/>
        <v>108</v>
      </c>
      <c r="F20" s="6" t="s">
        <v>0</v>
      </c>
      <c r="G20" s="8">
        <f>SUM(G14:G19)</f>
        <v>78</v>
      </c>
      <c r="H20" s="8">
        <f>SUM(H14:H19)</f>
        <v>90</v>
      </c>
      <c r="I20" s="8">
        <f t="shared" si="3"/>
        <v>168</v>
      </c>
    </row>
    <row r="21" spans="1:9" ht="13.9" thickTop="1" x14ac:dyDescent="0.35"/>
  </sheetData>
  <sortState xmlns:xlrd2="http://schemas.microsoft.com/office/spreadsheetml/2017/richdata2" ref="A5:D11">
    <sortCondition ref="A5"/>
  </sortState>
  <mergeCells count="5">
    <mergeCell ref="A2:D2"/>
    <mergeCell ref="A12:D12"/>
    <mergeCell ref="F12:I12"/>
    <mergeCell ref="F2:G2"/>
    <mergeCell ref="A1:H1"/>
  </mergeCells>
  <dataValidations count="1">
    <dataValidation allowBlank="1" error="pavI8MeUFtEyxX2I4tky3c95cbe0-f339-4677-9e40-d2ad6f6f61ad" sqref="A1:I21" xr:uid="{00000000-0002-0000-0100-000000000000}"/>
  </dataValidations>
  <pageMargins left="0.7" right="0.7" top="0.75" bottom="0.75" header="0.3" footer="0.3"/>
  <pageSetup orientation="landscape" cellComments="atEnd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29"/>
  <sheetViews>
    <sheetView workbookViewId="0">
      <selection activeCell="D21" sqref="D21"/>
    </sheetView>
  </sheetViews>
  <sheetFormatPr defaultRowHeight="13.5" x14ac:dyDescent="0.35"/>
  <cols>
    <col min="1" max="1" width="20.875" customWidth="1"/>
    <col min="2" max="2" width="18.625" customWidth="1"/>
    <col min="3" max="5" width="17.375" customWidth="1"/>
  </cols>
  <sheetData>
    <row r="1" spans="1:5" ht="54" customHeight="1" x14ac:dyDescent="0.35">
      <c r="A1" s="12"/>
      <c r="B1" s="13"/>
      <c r="C1" s="13"/>
      <c r="D1" s="13"/>
      <c r="E1" s="14"/>
    </row>
    <row r="2" spans="1:5" ht="24.75" customHeight="1" x14ac:dyDescent="0.35">
      <c r="A2" s="32" t="s">
        <v>20</v>
      </c>
      <c r="B2" s="32" t="s">
        <v>21</v>
      </c>
      <c r="C2" s="32" t="s">
        <v>23</v>
      </c>
      <c r="D2" s="32" t="s">
        <v>13</v>
      </c>
      <c r="E2" s="32" t="s">
        <v>22</v>
      </c>
    </row>
    <row r="3" spans="1:5" x14ac:dyDescent="0.35">
      <c r="A3" s="33" t="s">
        <v>24</v>
      </c>
      <c r="B3" s="33" t="s">
        <v>9</v>
      </c>
      <c r="C3" s="34">
        <v>45440</v>
      </c>
      <c r="D3" s="33" t="s">
        <v>16</v>
      </c>
      <c r="E3" s="33" t="s">
        <v>38</v>
      </c>
    </row>
    <row r="4" spans="1:5" x14ac:dyDescent="0.35">
      <c r="A4" s="35" t="s">
        <v>25</v>
      </c>
      <c r="B4" s="35" t="s">
        <v>7</v>
      </c>
      <c r="C4" s="36">
        <v>45441</v>
      </c>
      <c r="D4" s="35" t="s">
        <v>17</v>
      </c>
      <c r="E4" s="35" t="s">
        <v>39</v>
      </c>
    </row>
    <row r="5" spans="1:5" x14ac:dyDescent="0.35">
      <c r="A5" s="35" t="s">
        <v>26</v>
      </c>
      <c r="B5" s="35" t="s">
        <v>9</v>
      </c>
      <c r="C5" s="36">
        <v>45440</v>
      </c>
      <c r="D5" s="35" t="s">
        <v>16</v>
      </c>
      <c r="E5" s="35" t="s">
        <v>39</v>
      </c>
    </row>
    <row r="6" spans="1:5" x14ac:dyDescent="0.35">
      <c r="A6" s="35" t="s">
        <v>27</v>
      </c>
      <c r="B6" s="35" t="s">
        <v>8</v>
      </c>
      <c r="C6" s="36">
        <v>45441</v>
      </c>
      <c r="D6" s="35" t="s">
        <v>14</v>
      </c>
      <c r="E6" s="35" t="s">
        <v>40</v>
      </c>
    </row>
    <row r="7" spans="1:5" x14ac:dyDescent="0.35">
      <c r="A7" s="35" t="s">
        <v>28</v>
      </c>
      <c r="B7" s="35" t="s">
        <v>7</v>
      </c>
      <c r="C7" s="36">
        <v>45440</v>
      </c>
      <c r="D7" s="35" t="s">
        <v>18</v>
      </c>
      <c r="E7" s="35" t="s">
        <v>38</v>
      </c>
    </row>
    <row r="8" spans="1:5" x14ac:dyDescent="0.35">
      <c r="A8" s="35" t="s">
        <v>29</v>
      </c>
      <c r="B8" s="35" t="s">
        <v>8</v>
      </c>
      <c r="C8" s="36">
        <v>45442</v>
      </c>
      <c r="D8" s="35" t="s">
        <v>15</v>
      </c>
      <c r="E8" s="35" t="s">
        <v>38</v>
      </c>
    </row>
    <row r="9" spans="1:5" x14ac:dyDescent="0.35">
      <c r="A9" s="35" t="s">
        <v>30</v>
      </c>
      <c r="B9" s="35" t="s">
        <v>9</v>
      </c>
      <c r="C9" s="36">
        <v>45442</v>
      </c>
      <c r="D9" s="35" t="s">
        <v>19</v>
      </c>
      <c r="E9" s="35" t="s">
        <v>40</v>
      </c>
    </row>
    <row r="10" spans="1:5" x14ac:dyDescent="0.35">
      <c r="A10" s="35" t="s">
        <v>31</v>
      </c>
      <c r="B10" s="35" t="s">
        <v>7</v>
      </c>
      <c r="C10" s="36">
        <v>45443</v>
      </c>
      <c r="D10" s="35" t="s">
        <v>15</v>
      </c>
      <c r="E10" s="35" t="s">
        <v>39</v>
      </c>
    </row>
    <row r="11" spans="1:5" x14ac:dyDescent="0.35">
      <c r="A11" s="35" t="s">
        <v>32</v>
      </c>
      <c r="B11" s="35" t="s">
        <v>8</v>
      </c>
      <c r="C11" s="36">
        <v>45442</v>
      </c>
      <c r="D11" s="35" t="s">
        <v>17</v>
      </c>
      <c r="E11" s="35" t="s">
        <v>38</v>
      </c>
    </row>
    <row r="12" spans="1:5" x14ac:dyDescent="0.35">
      <c r="A12" s="35" t="s">
        <v>33</v>
      </c>
      <c r="B12" s="35" t="s">
        <v>7</v>
      </c>
      <c r="C12" s="36">
        <v>45443</v>
      </c>
      <c r="D12" s="35" t="s">
        <v>14</v>
      </c>
      <c r="E12" s="35" t="s">
        <v>38</v>
      </c>
    </row>
    <row r="13" spans="1:5" x14ac:dyDescent="0.35">
      <c r="A13" s="35" t="s">
        <v>34</v>
      </c>
      <c r="B13" s="35" t="s">
        <v>9</v>
      </c>
      <c r="C13" s="36">
        <v>45440</v>
      </c>
      <c r="D13" s="35" t="s">
        <v>18</v>
      </c>
      <c r="E13" s="35" t="s">
        <v>39</v>
      </c>
    </row>
    <row r="14" spans="1:5" x14ac:dyDescent="0.35">
      <c r="A14" s="35" t="s">
        <v>35</v>
      </c>
      <c r="B14" s="35" t="s">
        <v>9</v>
      </c>
      <c r="C14" s="36">
        <v>45441</v>
      </c>
      <c r="D14" s="35" t="s">
        <v>19</v>
      </c>
      <c r="E14" s="35" t="s">
        <v>40</v>
      </c>
    </row>
    <row r="15" spans="1:5" x14ac:dyDescent="0.35">
      <c r="A15" s="35" t="s">
        <v>36</v>
      </c>
      <c r="B15" s="35" t="s">
        <v>8</v>
      </c>
      <c r="C15" s="36">
        <v>45443</v>
      </c>
      <c r="D15" s="35" t="s">
        <v>16</v>
      </c>
      <c r="E15" s="35" t="s">
        <v>39</v>
      </c>
    </row>
    <row r="16" spans="1:5" x14ac:dyDescent="0.35">
      <c r="A16" s="35" t="s">
        <v>37</v>
      </c>
      <c r="B16" s="35" t="s">
        <v>7</v>
      </c>
      <c r="C16" s="36">
        <v>45441</v>
      </c>
      <c r="D16" s="35" t="s">
        <v>15</v>
      </c>
      <c r="E16" s="35" t="s">
        <v>38</v>
      </c>
    </row>
    <row r="17" spans="1:5" x14ac:dyDescent="0.35">
      <c r="A17" s="23" t="s">
        <v>42</v>
      </c>
      <c r="B17" s="23" t="s">
        <v>9</v>
      </c>
      <c r="C17" s="31">
        <v>45442</v>
      </c>
      <c r="D17" s="23" t="s">
        <v>19</v>
      </c>
      <c r="E17" s="23" t="s">
        <v>40</v>
      </c>
    </row>
    <row r="18" spans="1:5" x14ac:dyDescent="0.35">
      <c r="A18" s="35"/>
      <c r="B18" s="35"/>
      <c r="C18" s="36"/>
      <c r="D18" s="35"/>
      <c r="E18" s="35"/>
    </row>
    <row r="19" spans="1:5" x14ac:dyDescent="0.35">
      <c r="A19" s="35"/>
      <c r="B19" s="35"/>
      <c r="C19" s="36"/>
      <c r="D19" s="35"/>
      <c r="E19" s="35"/>
    </row>
    <row r="20" spans="1:5" x14ac:dyDescent="0.35">
      <c r="A20" s="35"/>
      <c r="B20" s="35"/>
      <c r="C20" s="36"/>
      <c r="D20" s="35"/>
      <c r="E20" s="35"/>
    </row>
    <row r="21" spans="1:5" x14ac:dyDescent="0.35">
      <c r="A21" s="35"/>
      <c r="B21" s="35"/>
      <c r="C21" s="36"/>
      <c r="D21" s="35"/>
      <c r="E21" s="35"/>
    </row>
    <row r="22" spans="1:5" x14ac:dyDescent="0.35">
      <c r="A22" s="35"/>
      <c r="B22" s="35"/>
      <c r="C22" s="36"/>
      <c r="D22" s="35"/>
      <c r="E22" s="35"/>
    </row>
    <row r="23" spans="1:5" x14ac:dyDescent="0.35">
      <c r="A23" s="35"/>
      <c r="B23" s="35"/>
      <c r="C23" s="36"/>
      <c r="D23" s="35"/>
      <c r="E23" s="35"/>
    </row>
    <row r="24" spans="1:5" x14ac:dyDescent="0.35">
      <c r="A24" s="35"/>
      <c r="B24" s="35"/>
      <c r="C24" s="36"/>
      <c r="D24" s="35"/>
      <c r="E24" s="35"/>
    </row>
    <row r="25" spans="1:5" x14ac:dyDescent="0.35">
      <c r="A25" s="35"/>
      <c r="B25" s="35"/>
      <c r="C25" s="36"/>
      <c r="D25" s="35"/>
      <c r="E25" s="35"/>
    </row>
    <row r="26" spans="1:5" x14ac:dyDescent="0.35">
      <c r="A26" s="35"/>
      <c r="B26" s="35"/>
      <c r="C26" s="36"/>
      <c r="D26" s="35"/>
      <c r="E26" s="35"/>
    </row>
    <row r="27" spans="1:5" x14ac:dyDescent="0.35">
      <c r="A27" s="35"/>
      <c r="B27" s="35"/>
      <c r="C27" s="36"/>
      <c r="D27" s="35"/>
      <c r="E27" s="35"/>
    </row>
    <row r="28" spans="1:5" x14ac:dyDescent="0.35">
      <c r="A28" s="35"/>
      <c r="B28" s="35"/>
      <c r="C28" s="36"/>
      <c r="D28" s="35"/>
      <c r="E28" s="35"/>
    </row>
    <row r="29" spans="1:5" x14ac:dyDescent="0.35">
      <c r="A29" s="35"/>
      <c r="B29" s="35"/>
      <c r="C29" s="36"/>
      <c r="D29" s="35"/>
      <c r="E29" s="35"/>
    </row>
    <row r="30" spans="1:5" x14ac:dyDescent="0.35">
      <c r="A30" s="35"/>
      <c r="B30" s="35"/>
      <c r="C30" s="36"/>
      <c r="D30" s="35"/>
      <c r="E30" s="35"/>
    </row>
    <row r="31" spans="1:5" x14ac:dyDescent="0.35">
      <c r="A31" s="35"/>
      <c r="B31" s="35"/>
      <c r="C31" s="36"/>
      <c r="D31" s="35"/>
      <c r="E31" s="35"/>
    </row>
    <row r="32" spans="1:5" x14ac:dyDescent="0.35">
      <c r="A32" s="35"/>
      <c r="B32" s="35"/>
      <c r="C32" s="36"/>
      <c r="D32" s="35"/>
      <c r="E32" s="35"/>
    </row>
    <row r="33" spans="1:5" x14ac:dyDescent="0.35">
      <c r="A33" s="35"/>
      <c r="B33" s="35"/>
      <c r="C33" s="36"/>
      <c r="D33" s="35"/>
      <c r="E33" s="35"/>
    </row>
    <row r="34" spans="1:5" x14ac:dyDescent="0.35">
      <c r="A34" s="35"/>
      <c r="B34" s="35"/>
      <c r="C34" s="36"/>
      <c r="D34" s="35"/>
      <c r="E34" s="35"/>
    </row>
    <row r="35" spans="1:5" x14ac:dyDescent="0.35">
      <c r="A35" s="35"/>
      <c r="B35" s="35"/>
      <c r="C35" s="36"/>
      <c r="D35" s="35"/>
      <c r="E35" s="35"/>
    </row>
    <row r="36" spans="1:5" x14ac:dyDescent="0.35">
      <c r="A36" s="35"/>
      <c r="B36" s="35"/>
      <c r="C36" s="36"/>
      <c r="D36" s="35"/>
      <c r="E36" s="35"/>
    </row>
    <row r="37" spans="1:5" x14ac:dyDescent="0.35">
      <c r="A37" s="35"/>
      <c r="B37" s="35"/>
      <c r="C37" s="36"/>
      <c r="D37" s="35"/>
      <c r="E37" s="35"/>
    </row>
    <row r="38" spans="1:5" x14ac:dyDescent="0.35">
      <c r="A38" s="35"/>
      <c r="B38" s="35"/>
      <c r="C38" s="36"/>
      <c r="D38" s="35"/>
      <c r="E38" s="35"/>
    </row>
    <row r="39" spans="1:5" x14ac:dyDescent="0.35">
      <c r="A39" s="35"/>
      <c r="B39" s="35"/>
      <c r="C39" s="36"/>
      <c r="D39" s="35"/>
      <c r="E39" s="35"/>
    </row>
    <row r="40" spans="1:5" x14ac:dyDescent="0.35">
      <c r="A40" s="35"/>
      <c r="B40" s="35"/>
      <c r="C40" s="36"/>
      <c r="D40" s="35"/>
      <c r="E40" s="35"/>
    </row>
    <row r="41" spans="1:5" x14ac:dyDescent="0.35">
      <c r="A41" s="35"/>
      <c r="B41" s="35"/>
      <c r="C41" s="36"/>
      <c r="D41" s="35"/>
      <c r="E41" s="35"/>
    </row>
    <row r="42" spans="1:5" x14ac:dyDescent="0.35">
      <c r="A42" s="35"/>
      <c r="B42" s="35"/>
      <c r="C42" s="36"/>
      <c r="D42" s="35"/>
      <c r="E42" s="35"/>
    </row>
    <row r="43" spans="1:5" x14ac:dyDescent="0.35">
      <c r="A43" s="35"/>
      <c r="B43" s="35"/>
      <c r="C43" s="36"/>
      <c r="D43" s="35"/>
      <c r="E43" s="35"/>
    </row>
    <row r="44" spans="1:5" x14ac:dyDescent="0.35">
      <c r="A44" s="35"/>
      <c r="B44" s="37"/>
      <c r="C44" s="36"/>
      <c r="D44" s="35"/>
      <c r="E44" s="35"/>
    </row>
    <row r="45" spans="1:5" x14ac:dyDescent="0.35">
      <c r="A45" s="35"/>
      <c r="B45" s="37"/>
      <c r="C45" s="36"/>
      <c r="D45" s="35"/>
      <c r="E45" s="35"/>
    </row>
    <row r="46" spans="1:5" x14ac:dyDescent="0.35">
      <c r="A46" s="35"/>
      <c r="B46" s="37"/>
      <c r="C46" s="36"/>
      <c r="D46" s="35"/>
      <c r="E46" s="35"/>
    </row>
    <row r="47" spans="1:5" x14ac:dyDescent="0.35">
      <c r="A47" s="35"/>
      <c r="B47" s="37"/>
      <c r="C47" s="36"/>
      <c r="D47" s="35"/>
      <c r="E47" s="35"/>
    </row>
    <row r="48" spans="1:5" x14ac:dyDescent="0.35">
      <c r="A48" s="35"/>
      <c r="B48" s="37"/>
      <c r="C48" s="36"/>
      <c r="D48" s="35"/>
      <c r="E48" s="35"/>
    </row>
    <row r="49" spans="1:5" x14ac:dyDescent="0.35">
      <c r="A49" s="35"/>
      <c r="B49" s="37"/>
      <c r="C49" s="36"/>
      <c r="D49" s="35"/>
      <c r="E49" s="35"/>
    </row>
    <row r="50" spans="1:5" x14ac:dyDescent="0.35">
      <c r="A50" s="35"/>
      <c r="B50" s="37"/>
      <c r="C50" s="36"/>
      <c r="D50" s="35"/>
      <c r="E50" s="35"/>
    </row>
    <row r="51" spans="1:5" x14ac:dyDescent="0.35">
      <c r="A51" s="35"/>
      <c r="B51" s="37"/>
      <c r="C51" s="36"/>
      <c r="D51" s="35"/>
      <c r="E51" s="35"/>
    </row>
    <row r="52" spans="1:5" x14ac:dyDescent="0.35">
      <c r="A52" s="35"/>
      <c r="B52" s="37"/>
      <c r="C52" s="36"/>
      <c r="D52" s="35"/>
      <c r="E52" s="35"/>
    </row>
    <row r="53" spans="1:5" x14ac:dyDescent="0.35">
      <c r="A53" s="35"/>
      <c r="B53" s="37"/>
      <c r="C53" s="36"/>
      <c r="D53" s="35"/>
      <c r="E53" s="35"/>
    </row>
    <row r="54" spans="1:5" x14ac:dyDescent="0.35">
      <c r="A54" s="35"/>
      <c r="B54" s="37"/>
      <c r="C54" s="36"/>
      <c r="D54" s="35"/>
      <c r="E54" s="35"/>
    </row>
    <row r="55" spans="1:5" x14ac:dyDescent="0.35">
      <c r="A55" s="35"/>
      <c r="B55" s="37"/>
      <c r="C55" s="36"/>
      <c r="D55" s="35"/>
      <c r="E55" s="35"/>
    </row>
    <row r="56" spans="1:5" x14ac:dyDescent="0.35">
      <c r="A56" s="35"/>
      <c r="B56" s="37"/>
      <c r="C56" s="36"/>
      <c r="D56" s="35"/>
      <c r="E56" s="35"/>
    </row>
    <row r="57" spans="1:5" x14ac:dyDescent="0.35">
      <c r="A57" s="35"/>
      <c r="B57" s="37"/>
      <c r="C57" s="36"/>
      <c r="D57" s="35"/>
      <c r="E57" s="35"/>
    </row>
    <row r="58" spans="1:5" x14ac:dyDescent="0.35">
      <c r="A58" s="35"/>
      <c r="B58" s="37"/>
      <c r="C58" s="36"/>
      <c r="D58" s="35"/>
      <c r="E58" s="35"/>
    </row>
    <row r="59" spans="1:5" x14ac:dyDescent="0.35">
      <c r="A59" s="35"/>
      <c r="B59" s="37"/>
      <c r="C59" s="36"/>
      <c r="D59" s="35"/>
      <c r="E59" s="35"/>
    </row>
    <row r="60" spans="1:5" x14ac:dyDescent="0.35">
      <c r="A60" s="35"/>
      <c r="B60" s="37"/>
      <c r="C60" s="36"/>
      <c r="D60" s="35"/>
      <c r="E60" s="35"/>
    </row>
    <row r="61" spans="1:5" x14ac:dyDescent="0.35">
      <c r="A61" s="35"/>
      <c r="B61" s="37"/>
      <c r="C61" s="36"/>
      <c r="D61" s="35"/>
      <c r="E61" s="35"/>
    </row>
    <row r="62" spans="1:5" x14ac:dyDescent="0.35">
      <c r="A62" s="35"/>
      <c r="B62" s="37"/>
      <c r="C62" s="36"/>
      <c r="D62" s="35"/>
      <c r="E62" s="35"/>
    </row>
    <row r="63" spans="1:5" x14ac:dyDescent="0.35">
      <c r="A63" s="35"/>
      <c r="B63" s="37"/>
      <c r="C63" s="36"/>
      <c r="D63" s="35"/>
      <c r="E63" s="35"/>
    </row>
    <row r="64" spans="1:5" x14ac:dyDescent="0.35">
      <c r="A64" s="35"/>
      <c r="B64" s="37"/>
      <c r="C64" s="36"/>
      <c r="D64" s="35"/>
      <c r="E64" s="35"/>
    </row>
    <row r="65" spans="1:5" x14ac:dyDescent="0.35">
      <c r="A65" s="35"/>
      <c r="B65" s="37"/>
      <c r="C65" s="36"/>
      <c r="D65" s="35"/>
      <c r="E65" s="35"/>
    </row>
    <row r="66" spans="1:5" x14ac:dyDescent="0.35">
      <c r="A66" s="35"/>
      <c r="B66" s="37"/>
      <c r="C66" s="36"/>
      <c r="D66" s="35"/>
      <c r="E66" s="35"/>
    </row>
    <row r="67" spans="1:5" x14ac:dyDescent="0.35">
      <c r="A67" s="35"/>
      <c r="B67" s="37"/>
      <c r="C67" s="36"/>
      <c r="D67" s="35"/>
      <c r="E67" s="35"/>
    </row>
    <row r="68" spans="1:5" x14ac:dyDescent="0.35">
      <c r="A68" s="35"/>
      <c r="B68" s="37"/>
      <c r="C68" s="36"/>
      <c r="D68" s="35"/>
      <c r="E68" s="35"/>
    </row>
    <row r="69" spans="1:5" x14ac:dyDescent="0.35">
      <c r="A69" s="35"/>
      <c r="B69" s="37"/>
      <c r="C69" s="36"/>
      <c r="D69" s="35"/>
      <c r="E69" s="35"/>
    </row>
    <row r="70" spans="1:5" x14ac:dyDescent="0.35">
      <c r="A70" s="35"/>
      <c r="B70" s="37"/>
      <c r="C70" s="36"/>
      <c r="D70" s="35"/>
      <c r="E70" s="35"/>
    </row>
    <row r="71" spans="1:5" x14ac:dyDescent="0.35">
      <c r="A71" s="35"/>
      <c r="B71" s="37"/>
      <c r="C71" s="36"/>
      <c r="D71" s="35"/>
      <c r="E71" s="35"/>
    </row>
    <row r="72" spans="1:5" x14ac:dyDescent="0.35">
      <c r="A72" s="35"/>
      <c r="B72" s="37"/>
      <c r="C72" s="36"/>
      <c r="D72" s="35"/>
      <c r="E72" s="35"/>
    </row>
    <row r="73" spans="1:5" x14ac:dyDescent="0.35">
      <c r="A73" s="35"/>
      <c r="B73" s="37"/>
      <c r="C73" s="36"/>
      <c r="D73" s="35"/>
      <c r="E73" s="35"/>
    </row>
    <row r="74" spans="1:5" x14ac:dyDescent="0.35">
      <c r="A74" s="35"/>
      <c r="B74" s="37"/>
      <c r="C74" s="36"/>
      <c r="D74" s="35"/>
      <c r="E74" s="35"/>
    </row>
    <row r="75" spans="1:5" x14ac:dyDescent="0.35">
      <c r="A75" s="35"/>
      <c r="B75" s="37"/>
      <c r="C75" s="36"/>
      <c r="D75" s="35"/>
      <c r="E75" s="35"/>
    </row>
    <row r="76" spans="1:5" x14ac:dyDescent="0.35">
      <c r="A76" s="35"/>
      <c r="B76" s="37"/>
      <c r="C76" s="36"/>
      <c r="D76" s="35"/>
      <c r="E76" s="35"/>
    </row>
    <row r="77" spans="1:5" x14ac:dyDescent="0.35">
      <c r="A77" s="35"/>
      <c r="B77" s="37"/>
      <c r="C77" s="36"/>
      <c r="D77" s="35"/>
      <c r="E77" s="35"/>
    </row>
    <row r="78" spans="1:5" x14ac:dyDescent="0.35">
      <c r="A78" s="35"/>
      <c r="B78" s="37"/>
      <c r="C78" s="36"/>
      <c r="D78" s="35"/>
      <c r="E78" s="35"/>
    </row>
    <row r="79" spans="1:5" x14ac:dyDescent="0.35">
      <c r="A79" s="35"/>
      <c r="B79" s="37"/>
      <c r="C79" s="36"/>
      <c r="D79" s="35"/>
      <c r="E79" s="35"/>
    </row>
    <row r="80" spans="1:5" x14ac:dyDescent="0.35">
      <c r="A80" s="35"/>
      <c r="B80" s="37"/>
      <c r="C80" s="36"/>
      <c r="D80" s="35"/>
      <c r="E80" s="35"/>
    </row>
    <row r="81" spans="1:5" x14ac:dyDescent="0.35">
      <c r="A81" s="35"/>
      <c r="B81" s="37"/>
      <c r="C81" s="36"/>
      <c r="D81" s="35"/>
      <c r="E81" s="35"/>
    </row>
    <row r="82" spans="1:5" x14ac:dyDescent="0.35">
      <c r="A82" s="35"/>
      <c r="B82" s="37"/>
      <c r="C82" s="36"/>
      <c r="D82" s="35"/>
      <c r="E82" s="35"/>
    </row>
    <row r="83" spans="1:5" x14ac:dyDescent="0.35">
      <c r="A83" s="35"/>
      <c r="B83" s="37"/>
      <c r="C83" s="36"/>
      <c r="D83" s="35"/>
      <c r="E83" s="35"/>
    </row>
    <row r="84" spans="1:5" x14ac:dyDescent="0.35">
      <c r="A84" s="35"/>
      <c r="B84" s="37"/>
      <c r="C84" s="36"/>
      <c r="D84" s="35"/>
      <c r="E84" s="35"/>
    </row>
    <row r="85" spans="1:5" x14ac:dyDescent="0.35">
      <c r="A85" s="35"/>
      <c r="B85" s="37"/>
      <c r="C85" s="36"/>
      <c r="D85" s="35"/>
      <c r="E85" s="35"/>
    </row>
    <row r="86" spans="1:5" x14ac:dyDescent="0.35">
      <c r="A86" s="35"/>
      <c r="B86" s="37"/>
      <c r="C86" s="36"/>
      <c r="D86" s="35"/>
      <c r="E86" s="35"/>
    </row>
    <row r="87" spans="1:5" x14ac:dyDescent="0.35">
      <c r="A87" s="35"/>
      <c r="B87" s="37"/>
      <c r="C87" s="36"/>
      <c r="D87" s="35"/>
      <c r="E87" s="35"/>
    </row>
    <row r="88" spans="1:5" x14ac:dyDescent="0.35">
      <c r="A88" s="35"/>
      <c r="B88" s="37"/>
      <c r="C88" s="36"/>
      <c r="D88" s="35"/>
      <c r="E88" s="35"/>
    </row>
    <row r="89" spans="1:5" x14ac:dyDescent="0.35">
      <c r="A89" s="35"/>
      <c r="B89" s="37"/>
      <c r="C89" s="36"/>
      <c r="D89" s="35"/>
      <c r="E89" s="35"/>
    </row>
    <row r="90" spans="1:5" x14ac:dyDescent="0.35">
      <c r="A90" s="35"/>
      <c r="B90" s="37"/>
      <c r="C90" s="36"/>
      <c r="D90" s="35"/>
      <c r="E90" s="37"/>
    </row>
    <row r="91" spans="1:5" x14ac:dyDescent="0.35">
      <c r="A91" s="35"/>
      <c r="B91" s="37"/>
      <c r="C91" s="36"/>
      <c r="D91" s="35"/>
      <c r="E91" s="37"/>
    </row>
    <row r="92" spans="1:5" x14ac:dyDescent="0.35">
      <c r="A92" s="35"/>
      <c r="B92" s="37"/>
      <c r="C92" s="36"/>
      <c r="D92" s="35"/>
      <c r="E92" s="37"/>
    </row>
    <row r="93" spans="1:5" x14ac:dyDescent="0.35">
      <c r="A93" s="35"/>
      <c r="B93" s="37"/>
      <c r="C93" s="36"/>
      <c r="D93" s="35"/>
      <c r="E93" s="37"/>
    </row>
    <row r="94" spans="1:5" x14ac:dyDescent="0.35">
      <c r="A94" s="35"/>
      <c r="B94" s="37"/>
      <c r="C94" s="36"/>
      <c r="D94" s="35"/>
      <c r="E94" s="37"/>
    </row>
    <row r="95" spans="1:5" x14ac:dyDescent="0.35">
      <c r="A95" s="35"/>
      <c r="B95" s="37"/>
      <c r="C95" s="36"/>
      <c r="D95" s="35"/>
      <c r="E95" s="37"/>
    </row>
    <row r="96" spans="1:5" x14ac:dyDescent="0.35">
      <c r="A96" s="35"/>
      <c r="B96" s="37"/>
      <c r="C96" s="36"/>
      <c r="D96" s="35"/>
      <c r="E96" s="37"/>
    </row>
    <row r="97" spans="1:5" x14ac:dyDescent="0.35">
      <c r="A97" s="35"/>
      <c r="B97" s="37"/>
      <c r="C97" s="36"/>
      <c r="D97" s="35"/>
      <c r="E97" s="37"/>
    </row>
    <row r="98" spans="1:5" x14ac:dyDescent="0.35">
      <c r="A98" s="35"/>
      <c r="B98" s="37"/>
      <c r="C98" s="36"/>
      <c r="D98" s="35"/>
      <c r="E98" s="37"/>
    </row>
    <row r="99" spans="1:5" x14ac:dyDescent="0.35">
      <c r="A99" s="35"/>
      <c r="B99" s="37"/>
      <c r="C99" s="36"/>
      <c r="D99" s="35"/>
      <c r="E99" s="37"/>
    </row>
    <row r="100" spans="1:5" x14ac:dyDescent="0.35">
      <c r="A100" s="35"/>
      <c r="B100" s="37"/>
      <c r="C100" s="36"/>
      <c r="D100" s="35"/>
      <c r="E100" s="37"/>
    </row>
    <row r="101" spans="1:5" x14ac:dyDescent="0.35">
      <c r="A101" s="35"/>
      <c r="B101" s="37"/>
      <c r="C101" s="36"/>
      <c r="D101" s="35"/>
      <c r="E101" s="37"/>
    </row>
    <row r="102" spans="1:5" x14ac:dyDescent="0.35">
      <c r="A102" s="35"/>
      <c r="B102" s="37"/>
      <c r="C102" s="36"/>
      <c r="D102" s="35"/>
      <c r="E102" s="37"/>
    </row>
    <row r="103" spans="1:5" x14ac:dyDescent="0.35">
      <c r="A103" s="35"/>
      <c r="B103" s="37"/>
      <c r="C103" s="36"/>
      <c r="D103" s="35"/>
      <c r="E103" s="37"/>
    </row>
    <row r="104" spans="1:5" x14ac:dyDescent="0.35">
      <c r="A104" s="35"/>
      <c r="B104" s="37"/>
      <c r="C104" s="36"/>
      <c r="D104" s="35"/>
      <c r="E104" s="37"/>
    </row>
    <row r="105" spans="1:5" x14ac:dyDescent="0.35">
      <c r="A105" s="35"/>
      <c r="B105" s="37"/>
      <c r="C105" s="36"/>
      <c r="D105" s="35"/>
      <c r="E105" s="37"/>
    </row>
    <row r="106" spans="1:5" x14ac:dyDescent="0.35">
      <c r="A106" s="35"/>
      <c r="B106" s="37"/>
      <c r="C106" s="36"/>
      <c r="D106" s="35"/>
      <c r="E106" s="37"/>
    </row>
    <row r="107" spans="1:5" x14ac:dyDescent="0.35">
      <c r="A107" s="35"/>
      <c r="B107" s="37"/>
      <c r="C107" s="36"/>
      <c r="D107" s="35"/>
      <c r="E107" s="37"/>
    </row>
    <row r="108" spans="1:5" x14ac:dyDescent="0.35">
      <c r="A108" s="35"/>
      <c r="B108" s="37"/>
      <c r="C108" s="36"/>
      <c r="D108" s="35"/>
      <c r="E108" s="37"/>
    </row>
    <row r="109" spans="1:5" x14ac:dyDescent="0.35">
      <c r="A109" s="35"/>
      <c r="B109" s="37"/>
      <c r="C109" s="36"/>
      <c r="D109" s="35"/>
      <c r="E109" s="37"/>
    </row>
    <row r="110" spans="1:5" x14ac:dyDescent="0.35">
      <c r="A110" s="35"/>
      <c r="B110" s="37"/>
      <c r="C110" s="36"/>
      <c r="D110" s="35"/>
      <c r="E110" s="37"/>
    </row>
    <row r="111" spans="1:5" x14ac:dyDescent="0.35">
      <c r="A111" s="35"/>
      <c r="B111" s="37"/>
      <c r="C111" s="36"/>
      <c r="D111" s="35"/>
      <c r="E111" s="37"/>
    </row>
    <row r="112" spans="1:5" x14ac:dyDescent="0.35">
      <c r="A112" s="35"/>
      <c r="B112" s="37"/>
      <c r="C112" s="36"/>
      <c r="D112" s="35"/>
      <c r="E112" s="37"/>
    </row>
    <row r="113" spans="1:5" x14ac:dyDescent="0.35">
      <c r="A113" s="35"/>
      <c r="B113" s="37"/>
      <c r="C113" s="36"/>
      <c r="D113" s="35"/>
      <c r="E113" s="37"/>
    </row>
    <row r="114" spans="1:5" x14ac:dyDescent="0.35">
      <c r="A114" s="35"/>
      <c r="B114" s="37"/>
      <c r="C114" s="36"/>
      <c r="D114" s="35"/>
      <c r="E114" s="37"/>
    </row>
    <row r="115" spans="1:5" x14ac:dyDescent="0.35">
      <c r="A115" s="35"/>
      <c r="B115" s="37"/>
      <c r="C115" s="36"/>
      <c r="D115" s="35"/>
      <c r="E115" s="37"/>
    </row>
    <row r="116" spans="1:5" x14ac:dyDescent="0.35">
      <c r="A116" s="35"/>
      <c r="B116" s="37"/>
      <c r="C116" s="36"/>
      <c r="D116" s="35"/>
      <c r="E116" s="37"/>
    </row>
    <row r="117" spans="1:5" x14ac:dyDescent="0.35">
      <c r="A117" s="35"/>
      <c r="B117" s="37"/>
      <c r="C117" s="36"/>
      <c r="D117" s="35"/>
      <c r="E117" s="37"/>
    </row>
    <row r="118" spans="1:5" x14ac:dyDescent="0.35">
      <c r="A118" s="35"/>
      <c r="B118" s="37"/>
      <c r="C118" s="36"/>
      <c r="D118" s="35"/>
      <c r="E118" s="37"/>
    </row>
    <row r="119" spans="1:5" x14ac:dyDescent="0.35">
      <c r="A119" s="35"/>
      <c r="B119" s="37"/>
      <c r="C119" s="36"/>
      <c r="D119" s="35"/>
      <c r="E119" s="37"/>
    </row>
    <row r="120" spans="1:5" x14ac:dyDescent="0.35">
      <c r="A120" s="35"/>
      <c r="B120" s="37"/>
      <c r="C120" s="36"/>
      <c r="D120" s="35"/>
      <c r="E120" s="37"/>
    </row>
    <row r="121" spans="1:5" x14ac:dyDescent="0.35">
      <c r="A121" s="35"/>
      <c r="B121" s="37"/>
      <c r="C121" s="35"/>
      <c r="D121" s="35"/>
      <c r="E121" s="37"/>
    </row>
    <row r="122" spans="1:5" x14ac:dyDescent="0.35">
      <c r="A122" s="37"/>
      <c r="B122" s="37"/>
      <c r="C122" s="35"/>
      <c r="D122" s="35"/>
      <c r="E122" s="37"/>
    </row>
    <row r="123" spans="1:5" x14ac:dyDescent="0.35">
      <c r="A123" s="37"/>
      <c r="B123" s="37"/>
      <c r="C123" s="35"/>
      <c r="D123" s="35"/>
      <c r="E123" s="37"/>
    </row>
    <row r="124" spans="1:5" x14ac:dyDescent="0.35">
      <c r="A124" s="37"/>
      <c r="B124" s="37"/>
      <c r="C124" s="35"/>
      <c r="D124" s="35"/>
      <c r="E124" s="37"/>
    </row>
    <row r="125" spans="1:5" x14ac:dyDescent="0.35">
      <c r="A125" s="37"/>
      <c r="B125" s="37"/>
      <c r="C125" s="35"/>
      <c r="D125" s="35"/>
      <c r="E125" s="37"/>
    </row>
    <row r="126" spans="1:5" x14ac:dyDescent="0.35">
      <c r="A126" s="37"/>
      <c r="B126" s="37"/>
      <c r="C126" s="35"/>
      <c r="D126" s="35"/>
      <c r="E126" s="37"/>
    </row>
    <row r="127" spans="1:5" x14ac:dyDescent="0.35">
      <c r="A127" s="37"/>
      <c r="B127" s="37"/>
      <c r="C127" s="35"/>
      <c r="D127" s="35"/>
      <c r="E127" s="37"/>
    </row>
    <row r="128" spans="1:5" x14ac:dyDescent="0.35">
      <c r="A128" s="37"/>
      <c r="B128" s="37"/>
      <c r="C128" s="35"/>
      <c r="D128" s="35"/>
      <c r="E128" s="37"/>
    </row>
    <row r="129" spans="1:5" x14ac:dyDescent="0.35">
      <c r="A129" s="37"/>
      <c r="B129" s="37"/>
      <c r="C129" s="35"/>
      <c r="D129" s="35"/>
      <c r="E129" s="37"/>
    </row>
  </sheetData>
  <dataValidations count="4">
    <dataValidation type="list" allowBlank="1" showInputMessage="1" showErrorMessage="1" sqref="E3:E17" xr:uid="{00000000-0002-0000-0200-000000000000}">
      <formula1>"Cap, Mug, T-shirt"</formula1>
    </dataValidation>
    <dataValidation type="list" allowBlank="1" showInputMessage="1" showErrorMessage="1" sqref="E18" xr:uid="{00000000-0002-0000-0200-000001000000}">
      <formula1>"XS, S, M, L, XL, XXL"</formula1>
    </dataValidation>
    <dataValidation type="date" allowBlank="1" showInputMessage="1" showErrorMessage="1" errorTitle="Invalid Date" error="Enter a date between May 28 and May 31." promptTitle="Volunteer Assignment Date" prompt="Enter the date of the volunteer assignment." sqref="C3:C16" xr:uid="{38C7EB60-A8B3-45F8-913F-32A44F7CA540}">
      <formula1>45440</formula1>
      <formula2>45443</formula2>
    </dataValidation>
    <dataValidation allowBlank="1" error="pavI8MeUFtEyxX2I4tky3c95cbe0-f339-4677-9e40-d2ad6f6f61ad" sqref="A17:D17" xr:uid="{04390BC0-19EB-424B-8FC7-7E8A0A5EAD10}"/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3"/>
  <sheetViews>
    <sheetView tabSelected="1" workbookViewId="0">
      <selection activeCell="D4" sqref="D4"/>
    </sheetView>
  </sheetViews>
  <sheetFormatPr defaultRowHeight="13.5" x14ac:dyDescent="0.35"/>
  <cols>
    <col min="2" max="2" width="27.5" customWidth="1"/>
    <col min="3" max="3" width="1.375" customWidth="1"/>
    <col min="4" max="4" width="27.5" customWidth="1"/>
  </cols>
  <sheetData>
    <row r="1" spans="1:5" ht="30" x14ac:dyDescent="0.35">
      <c r="A1" s="55" t="s">
        <v>6</v>
      </c>
      <c r="B1" s="56"/>
      <c r="C1" s="56"/>
      <c r="D1" s="56"/>
      <c r="E1" s="57"/>
    </row>
    <row r="2" spans="1:5" ht="21" customHeight="1" x14ac:dyDescent="0.35">
      <c r="A2" s="58" t="s">
        <v>41</v>
      </c>
      <c r="B2" s="59"/>
      <c r="C2" s="59"/>
      <c r="D2" s="59"/>
      <c r="E2" s="60"/>
    </row>
    <row r="3" spans="1:5" x14ac:dyDescent="0.35">
      <c r="A3" s="25"/>
      <c r="B3" s="10"/>
      <c r="C3" s="10"/>
      <c r="D3" s="10"/>
      <c r="E3" s="26"/>
    </row>
    <row r="4" spans="1:5" ht="15" x14ac:dyDescent="0.4">
      <c r="A4" s="25"/>
      <c r="B4" s="30" t="s">
        <v>20</v>
      </c>
      <c r="C4" s="24"/>
      <c r="D4" s="23"/>
      <c r="E4" s="26"/>
    </row>
    <row r="5" spans="1:5" ht="15" x14ac:dyDescent="0.4">
      <c r="A5" s="25"/>
      <c r="B5" s="30" t="s">
        <v>21</v>
      </c>
      <c r="C5" s="24"/>
      <c r="D5" s="23"/>
      <c r="E5" s="26"/>
    </row>
    <row r="6" spans="1:5" ht="15" x14ac:dyDescent="0.4">
      <c r="A6" s="25"/>
      <c r="B6" s="30" t="s">
        <v>23</v>
      </c>
      <c r="C6" s="24"/>
      <c r="D6" s="31"/>
      <c r="E6" s="26"/>
    </row>
    <row r="7" spans="1:5" ht="15" x14ac:dyDescent="0.4">
      <c r="A7" s="25"/>
      <c r="B7" s="30" t="s">
        <v>13</v>
      </c>
      <c r="C7" s="24"/>
      <c r="D7" s="23"/>
      <c r="E7" s="26"/>
    </row>
    <row r="8" spans="1:5" ht="15" x14ac:dyDescent="0.4">
      <c r="A8" s="25"/>
      <c r="B8" s="30" t="s">
        <v>22</v>
      </c>
      <c r="C8" s="24"/>
      <c r="D8" s="23"/>
      <c r="E8" s="26"/>
    </row>
    <row r="9" spans="1:5" ht="15" x14ac:dyDescent="0.4">
      <c r="A9" s="25"/>
      <c r="B9" s="11"/>
      <c r="C9" s="11"/>
      <c r="D9" s="10"/>
      <c r="E9" s="26"/>
    </row>
    <row r="10" spans="1:5" x14ac:dyDescent="0.35">
      <c r="A10" s="25"/>
      <c r="B10" s="10"/>
      <c r="C10" s="10"/>
      <c r="D10" s="10"/>
      <c r="E10" s="26"/>
    </row>
    <row r="11" spans="1:5" ht="13.9" thickBot="1" x14ac:dyDescent="0.4">
      <c r="A11" s="27"/>
      <c r="B11" s="28"/>
      <c r="C11" s="28"/>
      <c r="D11" s="28"/>
      <c r="E11" s="29"/>
    </row>
    <row r="13" spans="1:5" ht="15" x14ac:dyDescent="0.4">
      <c r="B13" s="1"/>
      <c r="C13" s="1"/>
    </row>
  </sheetData>
  <mergeCells count="2">
    <mergeCell ref="A1:E1"/>
    <mergeCell ref="A2:E2"/>
  </mergeCells>
  <dataValidations count="2">
    <dataValidation type="list" allowBlank="1" showInputMessage="1" showErrorMessage="1" sqref="D8" xr:uid="{00000000-0002-0000-0300-000000000000}">
      <formula1>"Cap, Mug, T-shirt"</formula1>
    </dataValidation>
    <dataValidation allowBlank="1" error="pavI8MeUFtEyxX2I4tky3c95cbe0-f339-4677-9e40-d2ad6f6f61ad" sqref="A1:C7 A8:C8 A9:C21 D1:D7 D9:D21 E1:G7 E8:G8 E9:G21" xr:uid="{00000000-0002-0000-0300-000001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Data" altText="Clear Form">
                <anchor moveWithCells="1" sizeWithCells="1">
                  <from>
                    <xdr:col>1</xdr:col>
                    <xdr:colOff>381000</xdr:colOff>
                    <xdr:row>8</xdr:row>
                    <xdr:rowOff>176213</xdr:rowOff>
                  </from>
                  <to>
                    <xdr:col>1</xdr:col>
                    <xdr:colOff>1752600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dd_Volunteer" altText="Clear Form">
                <anchor moveWithCells="1" sizeWithCells="1">
                  <from>
                    <xdr:col>3</xdr:col>
                    <xdr:colOff>280988</xdr:colOff>
                    <xdr:row>8</xdr:row>
                    <xdr:rowOff>157163</xdr:rowOff>
                  </from>
                  <to>
                    <xdr:col>3</xdr:col>
                    <xdr:colOff>1652588</xdr:colOff>
                    <xdr:row>10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GradingEngineProps xmlns="http://tempuri.org/temp">
  <UserID>{3c95cbe0-f339-4677-9e40-d2ad6f6f61ad}</UserID>
  <AssignmentID>{3c95cbe0-f339-4677-9e40-d2ad6f6f61ad}</AssignmentID>
</GradingEngineProps>
</file>

<file path=customXml/itemProps1.xml><?xml version="1.0" encoding="utf-8"?>
<ds:datastoreItem xmlns:ds="http://schemas.openxmlformats.org/officeDocument/2006/customXml" ds:itemID="{F28B72A5-50FD-4F89-B260-EC422EE644E5}">
  <ds:schemaRefs>
    <ds:schemaRef ds:uri="http://tempuri.org/tem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Documentation</vt:lpstr>
      <vt:lpstr>Volunteer Overview</vt:lpstr>
      <vt:lpstr>Volunteer Records</vt:lpstr>
      <vt:lpstr>Volunteer Registration</vt:lpstr>
      <vt:lpstr>Total_Tutors</vt:lpstr>
      <vt:lpstr>Total_Volunteers</vt:lpstr>
      <vt:lpstr>Tutor_Data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Your Name</dc:creator>
  <cp:keywords>© 2020 Cengage Learning.</cp:keywords>
  <cp:lastModifiedBy>Mathew, Neisa Elizabeth</cp:lastModifiedBy>
  <cp:lastPrinted>2023-10-28T03:56:28Z</cp:lastPrinted>
  <dcterms:created xsi:type="dcterms:W3CDTF">2019-03-29T17:45:45Z</dcterms:created>
  <dcterms:modified xsi:type="dcterms:W3CDTF">2023-10-28T04:57:29Z</dcterms:modified>
</cp:coreProperties>
</file>